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\Desktop\"/>
    </mc:Choice>
  </mc:AlternateContent>
  <xr:revisionPtr revIDLastSave="0" documentId="8_{61579B93-60A9-49FA-B811-6ECCA838BE0D}" xr6:coauthVersionLast="47" xr6:coauthVersionMax="47" xr10:uidLastSave="{00000000-0000-0000-0000-000000000000}"/>
  <bookViews>
    <workbookView xWindow="-24120" yWindow="-2040" windowWidth="24240" windowHeight="13020" xr2:uid="{3A66199C-FD54-42CC-A334-5C9461E477EB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1" l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<sst xmlns="http://schemas.openxmlformats.org/spreadsheetml/2006/main" count="14" uniqueCount="14">
  <si>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</si>
  <si>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</si>
  <si>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</si>
  <si>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</si>
  <si>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</si>
  <si>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</si>
  <si>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</si>
  <si>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</si>
  <si>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</si>
  <si>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</si>
  <si>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</si>
  <si>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</si>
  <si>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</si>
  <si>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Part.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</si>
</sst>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Verdana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" fontId="2" fillId="2" borderId="2" xfId="0" applyNumberFormat="1" applyFont="1" applyFill="1" applyBorder="1" applyAlignment="1">
      <alignment wrapText="1"/>
    </xf>
    <xf numFmtId="4" fontId="2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wrapText="1"/>
    </xf>
    <xf numFmtId="4" fontId="3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4" fontId="4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wrapText="1"/>
    </xf>
    <xf numFmtId="4" fontId="3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wrapText="1"/>
    </xf>
    <xf numFmtId="4" fontId="5" fillId="4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wrapText="1"/>
    </xf>
    <xf numFmtId="4" fontId="5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nato\Desktop\Or&#231;amento_2026_Premissas_Completas.xlsx" TargetMode="External"/><Relationship Id="rId1" Type="http://schemas.openxmlformats.org/officeDocument/2006/relationships/externalLinkPath" Target="Or&#231;amento_2026_Premissas_Comple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 geral_2026_detalhado"/>
      <sheetName val="Prev_desp_resumo"/>
      <sheetName val="Fluxo_operacional"/>
      <sheetName val="Receitas_paideia_2026"/>
      <sheetName val="previsão_fluxomensal"/>
      <sheetName val="premissas_despesas"/>
      <sheetName val="premissas_receitas"/>
      <sheetName val="prod_fund1"/>
      <sheetName val="Boletos Escolas 2026"/>
      <sheetName val="Pedido Extra - Estoque"/>
      <sheetName val="Cortesias"/>
      <sheetName val="Folha"/>
      <sheetName val="Orçamento_grafica"/>
      <sheetName val="Folha 2"/>
      <sheetName val="Folha 3"/>
    </sheetNames>
    <sheetDataSet>
      <sheetData sheetId="0">
        <row r="2">
          <cell r="A2" t="str">
            <v>TOTAL GERAL</v>
          </cell>
          <cell r="B2">
            <v>82466.717333333349</v>
          </cell>
          <cell r="C2">
            <v>202956.06448484847</v>
          </cell>
          <cell r="D2">
            <v>204123.35181818181</v>
          </cell>
          <cell r="E2">
            <v>206223.70515151511</v>
          </cell>
          <cell r="F2">
            <v>177140.58515151512</v>
          </cell>
          <cell r="G2">
            <v>208980.19715151514</v>
          </cell>
          <cell r="H2">
            <v>204466.13048484849</v>
          </cell>
          <cell r="I2">
            <v>175138.26108008658</v>
          </cell>
          <cell r="J2">
            <v>153275.64108008656</v>
          </cell>
          <cell r="K2">
            <v>140694.79643722941</v>
          </cell>
          <cell r="L2">
            <v>127563.64977056278</v>
          </cell>
          <cell r="M2">
            <v>91595.070484848489</v>
          </cell>
          <cell r="N2">
            <v>1974624.170428572</v>
          </cell>
          <cell r="O2">
            <v>100</v>
          </cell>
        </row>
        <row r="3">
          <cell r="A3" t="str">
            <v>PESSOAL (CLT e PJ recorrente)</v>
          </cell>
          <cell r="B3">
            <v>42695.126000000004</v>
          </cell>
          <cell r="C3">
            <v>42578.288</v>
          </cell>
          <cell r="D3">
            <v>54795.525333333338</v>
          </cell>
          <cell r="E3">
            <v>54795.525333333338</v>
          </cell>
          <cell r="F3">
            <v>54795.525333333338</v>
          </cell>
          <cell r="G3">
            <v>54795.525333333338</v>
          </cell>
          <cell r="H3">
            <v>54795.525333333338</v>
          </cell>
          <cell r="I3">
            <v>54795.525333333338</v>
          </cell>
          <cell r="J3">
            <v>54795.525333333338</v>
          </cell>
          <cell r="K3">
            <v>54795.525333333338</v>
          </cell>
          <cell r="L3">
            <v>54795.525333333338</v>
          </cell>
          <cell r="M3">
            <v>54795.525333333338</v>
          </cell>
          <cell r="N3">
            <v>633228.6673333334</v>
          </cell>
          <cell r="O3">
            <v>32.068313394335576</v>
          </cell>
        </row>
        <row r="4">
          <cell r="A4" t="str">
            <v>Folha CLT</v>
          </cell>
          <cell r="B4">
            <v>14436.036</v>
          </cell>
          <cell r="C4">
            <v>14319.198</v>
          </cell>
          <cell r="D4">
            <v>16236.435333333335</v>
          </cell>
          <cell r="E4">
            <v>16236.435333333335</v>
          </cell>
          <cell r="F4">
            <v>16236.435333333335</v>
          </cell>
          <cell r="G4">
            <v>16236.435333333335</v>
          </cell>
          <cell r="H4">
            <v>16236.435333333335</v>
          </cell>
          <cell r="I4">
            <v>16236.435333333335</v>
          </cell>
          <cell r="J4">
            <v>16236.435333333335</v>
          </cell>
          <cell r="K4">
            <v>16236.435333333335</v>
          </cell>
          <cell r="L4">
            <v>16236.435333333335</v>
          </cell>
          <cell r="M4">
            <v>16236.435333333335</v>
          </cell>
          <cell r="N4">
            <v>191119.58733333336</v>
          </cell>
          <cell r="O4">
            <v>9.6787829398367382</v>
          </cell>
        </row>
        <row r="9">
          <cell r="A9" t="str">
            <v>PJs recorrentes</v>
          </cell>
          <cell r="B9">
            <v>28259.09</v>
          </cell>
          <cell r="C9">
            <v>28259.09</v>
          </cell>
          <cell r="D9">
            <v>38559.089999999997</v>
          </cell>
          <cell r="E9">
            <v>38559.089999999997</v>
          </cell>
          <cell r="F9">
            <v>38559.089999999997</v>
          </cell>
          <cell r="G9">
            <v>38559.089999999997</v>
          </cell>
          <cell r="H9">
            <v>38559.089999999997</v>
          </cell>
          <cell r="I9">
            <v>38559.089999999997</v>
          </cell>
          <cell r="J9">
            <v>38559.089999999997</v>
          </cell>
          <cell r="K9">
            <v>38559.089999999997</v>
          </cell>
          <cell r="L9">
            <v>38559.089999999997</v>
          </cell>
          <cell r="M9">
            <v>38559.089999999997</v>
          </cell>
          <cell r="N9">
            <v>442109.08000000007</v>
          </cell>
          <cell r="O9">
            <v>22.389530454498832</v>
          </cell>
        </row>
        <row r="20">
          <cell r="A20" t="str">
            <v>PRODUÇÃO PEDAGÓGICA &amp; EDITORIAL (Conteúdo)</v>
          </cell>
          <cell r="B20">
            <v>2100</v>
          </cell>
          <cell r="C20">
            <v>66221.05</v>
          </cell>
          <cell r="D20">
            <v>40432.713333333333</v>
          </cell>
          <cell r="E20">
            <v>32199.733333333334</v>
          </cell>
          <cell r="F20">
            <v>5085.3333333333339</v>
          </cell>
          <cell r="G20">
            <v>9685.3333333333339</v>
          </cell>
          <cell r="H20">
            <v>1965.3333333333335</v>
          </cell>
          <cell r="I20">
            <v>37619.38392857142</v>
          </cell>
          <cell r="J20">
            <v>37619.38392857142</v>
          </cell>
          <cell r="K20">
            <v>24823.539285714287</v>
          </cell>
          <cell r="L20">
            <v>23156.872619047619</v>
          </cell>
          <cell r="M20">
            <v>13533.333333333334</v>
          </cell>
          <cell r="N20">
            <v>294442.00976190489</v>
          </cell>
          <cell r="O20">
            <v>14.911293712058596</v>
          </cell>
        </row>
        <row r="21">
          <cell r="A21" t="str">
            <v>PAIDEIA INFANTIL</v>
          </cell>
          <cell r="B21">
            <v>100</v>
          </cell>
          <cell r="C21">
            <v>26866.666666666668</v>
          </cell>
          <cell r="D21">
            <v>5105.333333333333</v>
          </cell>
          <cell r="E21">
            <v>5105.333333333333</v>
          </cell>
          <cell r="F21">
            <v>3085.3333333333335</v>
          </cell>
          <cell r="G21">
            <v>3085.3333333333335</v>
          </cell>
          <cell r="H21">
            <v>1965.3333333333335</v>
          </cell>
          <cell r="I21">
            <v>933.33333333333337</v>
          </cell>
          <cell r="J21">
            <v>933.33333333333337</v>
          </cell>
          <cell r="K21">
            <v>933.33333333333337</v>
          </cell>
          <cell r="L21">
            <v>933.33333333333337</v>
          </cell>
          <cell r="M21">
            <v>933.33333333333337</v>
          </cell>
          <cell r="N21">
            <v>49980</v>
          </cell>
          <cell r="O21">
            <v>2.53111456592534</v>
          </cell>
        </row>
        <row r="32">
          <cell r="A32" t="str">
            <v>PRODUÇÃO FUDAMENTAL 1 (Pagamento de 50% em 2026 do 2º ano ao 5º ano)</v>
          </cell>
          <cell r="B32">
            <v>2000</v>
          </cell>
          <cell r="C32">
            <v>36121.403333333335</v>
          </cell>
          <cell r="D32">
            <v>32094.400000000001</v>
          </cell>
          <cell r="E32">
            <v>27094.400000000001</v>
          </cell>
          <cell r="F32">
            <v>2000</v>
          </cell>
          <cell r="G32">
            <v>0</v>
          </cell>
          <cell r="H32">
            <v>0</v>
          </cell>
          <cell r="I32">
            <v>36686.050595238092</v>
          </cell>
          <cell r="J32">
            <v>36686.050595238092</v>
          </cell>
          <cell r="K32">
            <v>23890.205952380951</v>
          </cell>
          <cell r="L32">
            <v>22223.539285714287</v>
          </cell>
          <cell r="M32">
            <v>6000</v>
          </cell>
          <cell r="N32">
            <v>224796.04976190484</v>
          </cell>
          <cell r="O32">
            <v>11.384244816223188</v>
          </cell>
        </row>
        <row r="33">
          <cell r="A33" t="str">
            <v>Autoria  - 1º Ano Fund 1</v>
          </cell>
          <cell r="B33">
            <v>0</v>
          </cell>
          <cell r="C33">
            <v>36121.403333333335</v>
          </cell>
          <cell r="D33">
            <v>32094.400000000001</v>
          </cell>
          <cell r="E33">
            <v>27094.400000000001</v>
          </cell>
          <cell r="F33">
            <v>0</v>
          </cell>
          <cell r="G33">
            <v>0</v>
          </cell>
          <cell r="H33">
            <v>0</v>
          </cell>
          <cell r="I33">
            <v>1666.6666666666667</v>
          </cell>
          <cell r="J33">
            <v>1666.6666666666667</v>
          </cell>
          <cell r="K33">
            <v>1666.6666666666667</v>
          </cell>
          <cell r="L33">
            <v>0</v>
          </cell>
          <cell r="M33">
            <v>0</v>
          </cell>
          <cell r="N33">
            <v>100310.20333333334</v>
          </cell>
          <cell r="O33">
            <v>5.0799643210870871</v>
          </cell>
        </row>
        <row r="42">
          <cell r="A42" t="str">
            <v>Revisão ortográfica - 1º Ano Fund 1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1306.2346428571425</v>
          </cell>
          <cell r="J42">
            <v>1306.2346428571425</v>
          </cell>
          <cell r="K42">
            <v>0</v>
          </cell>
          <cell r="L42">
            <v>0</v>
          </cell>
          <cell r="M42">
            <v>0</v>
          </cell>
          <cell r="N42">
            <v>2612.469285714285</v>
          </cell>
          <cell r="O42">
            <v>0.1323021020829131</v>
          </cell>
        </row>
        <row r="51">
          <cell r="A51" t="str">
            <v>Ilustração - 1º Ano Fund 1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2500</v>
          </cell>
          <cell r="J51">
            <v>2500</v>
          </cell>
          <cell r="K51">
            <v>0</v>
          </cell>
          <cell r="L51">
            <v>0</v>
          </cell>
          <cell r="M51">
            <v>0</v>
          </cell>
          <cell r="N51">
            <v>5000</v>
          </cell>
          <cell r="O51">
            <v>0.25321274168920971</v>
          </cell>
        </row>
        <row r="60">
          <cell r="A60" t="str">
            <v>Diagramação - 1º Ano Fund 1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4393.04</v>
          </cell>
          <cell r="J60">
            <v>4393.04</v>
          </cell>
          <cell r="K60">
            <v>0</v>
          </cell>
          <cell r="L60">
            <v>0</v>
          </cell>
          <cell r="M60">
            <v>0</v>
          </cell>
          <cell r="N60">
            <v>8786.08</v>
          </cell>
          <cell r="O60">
            <v>0.44494948110014632</v>
          </cell>
        </row>
        <row r="77">
          <cell r="A77" t="str">
            <v>Autoria  - 2º Ano Fund 1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86">
          <cell r="A86" t="str">
            <v>Revisão ortográfica - 2º Ano Fund 1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5687.5392857142851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5687.5392857142851</v>
          </cell>
          <cell r="O86">
            <v>0.2880314832001607</v>
          </cell>
        </row>
        <row r="95">
          <cell r="A95" t="str">
            <v>Ilustração - 2º Ano Fund 1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2000</v>
          </cell>
          <cell r="J95">
            <v>2000</v>
          </cell>
          <cell r="K95">
            <v>2000</v>
          </cell>
          <cell r="L95">
            <v>0</v>
          </cell>
          <cell r="M95">
            <v>0</v>
          </cell>
          <cell r="N95">
            <v>6000</v>
          </cell>
          <cell r="O95">
            <v>0.30385529002705164</v>
          </cell>
        </row>
        <row r="104">
          <cell r="A104" t="str">
            <v>Diagramação - 2º Ano Fund 1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8536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8536</v>
          </cell>
          <cell r="O104">
            <v>0.43228479261181879</v>
          </cell>
        </row>
        <row r="113">
          <cell r="A113" t="str">
            <v>Autoria  - 3º Ano Fund 1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22">
          <cell r="A122" t="str">
            <v>Revisão ortográfica - 3º Ano Fund 1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5687.5392857142851</v>
          </cell>
          <cell r="K122">
            <v>0</v>
          </cell>
          <cell r="L122">
            <v>0</v>
          </cell>
          <cell r="M122">
            <v>0</v>
          </cell>
          <cell r="N122">
            <v>5687.5392857142851</v>
          </cell>
          <cell r="O122">
            <v>0.2880314832001607</v>
          </cell>
        </row>
        <row r="131">
          <cell r="A131" t="str">
            <v>Ilustração - 3º Ano Fund 1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2000</v>
          </cell>
          <cell r="K131">
            <v>2000</v>
          </cell>
          <cell r="L131">
            <v>2000</v>
          </cell>
          <cell r="M131">
            <v>0</v>
          </cell>
          <cell r="N131">
            <v>6000</v>
          </cell>
          <cell r="O131">
            <v>0.30385529002705164</v>
          </cell>
        </row>
        <row r="140">
          <cell r="A140" t="str">
            <v>Diagramação - 3º Ano Fund 1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8536</v>
          </cell>
          <cell r="K140">
            <v>0</v>
          </cell>
          <cell r="L140">
            <v>0</v>
          </cell>
          <cell r="M140">
            <v>0</v>
          </cell>
          <cell r="N140">
            <v>8536</v>
          </cell>
          <cell r="O140">
            <v>0.43228479261181879</v>
          </cell>
        </row>
        <row r="149">
          <cell r="A149" t="str">
            <v>Autoria  - 4º Ano Fund 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8">
          <cell r="A158" t="str">
            <v>Revisão ortográfica - 4º Ano Fund 1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5687.5392857142851</v>
          </cell>
          <cell r="L158">
            <v>0</v>
          </cell>
          <cell r="M158">
            <v>0</v>
          </cell>
          <cell r="N158">
            <v>5687.5392857142851</v>
          </cell>
          <cell r="O158">
            <v>0.2880314832001607</v>
          </cell>
        </row>
        <row r="167">
          <cell r="A167" t="str">
            <v>Ilustração - 4º Ano Fund 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2000</v>
          </cell>
          <cell r="L167">
            <v>2000</v>
          </cell>
          <cell r="M167">
            <v>2000</v>
          </cell>
          <cell r="N167">
            <v>6000</v>
          </cell>
          <cell r="O167">
            <v>0.30385529002705164</v>
          </cell>
        </row>
        <row r="176">
          <cell r="A176" t="str">
            <v>Diagramação - 4º Ano Fund 1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8536</v>
          </cell>
          <cell r="L176">
            <v>0</v>
          </cell>
          <cell r="M176">
            <v>0</v>
          </cell>
          <cell r="N176">
            <v>8536</v>
          </cell>
          <cell r="O176">
            <v>0.43228479261181879</v>
          </cell>
        </row>
        <row r="185">
          <cell r="A185" t="str">
            <v>Autoria  - 5º Ano Fund 1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</row>
        <row r="194">
          <cell r="A194" t="str">
            <v>Revisão ortográfica - 5º Ano Fund 1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5687.5392857142851</v>
          </cell>
          <cell r="M194">
            <v>0</v>
          </cell>
          <cell r="N194">
            <v>5687.5392857142851</v>
          </cell>
          <cell r="O194">
            <v>0.2880314832001607</v>
          </cell>
        </row>
        <row r="203">
          <cell r="A203" t="str">
            <v>Ilustração - 5º Ano Fund 1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2000</v>
          </cell>
          <cell r="L203">
            <v>2000</v>
          </cell>
          <cell r="M203">
            <v>2000</v>
          </cell>
          <cell r="N203">
            <v>6000</v>
          </cell>
          <cell r="O203">
            <v>0.30385529002705164</v>
          </cell>
        </row>
        <row r="212">
          <cell r="A212" t="str">
            <v>Diagramação - 5º Ano Fund 1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8536</v>
          </cell>
          <cell r="M212">
            <v>0</v>
          </cell>
          <cell r="N212">
            <v>8536</v>
          </cell>
          <cell r="O212">
            <v>0.43228479261181879</v>
          </cell>
        </row>
        <row r="221">
          <cell r="A221" t="str">
            <v>Assessoria editorial para padronização e fechamento de arquivos do Fund 1</v>
          </cell>
          <cell r="B221">
            <v>2000</v>
          </cell>
          <cell r="C221">
            <v>0</v>
          </cell>
          <cell r="D221">
            <v>0</v>
          </cell>
          <cell r="E221">
            <v>0</v>
          </cell>
          <cell r="F221">
            <v>2000</v>
          </cell>
          <cell r="G221">
            <v>0</v>
          </cell>
          <cell r="H221">
            <v>0</v>
          </cell>
          <cell r="I221">
            <v>2000</v>
          </cell>
          <cell r="J221">
            <v>0</v>
          </cell>
          <cell r="K221">
            <v>0</v>
          </cell>
          <cell r="L221">
            <v>2000</v>
          </cell>
          <cell r="M221">
            <v>2000</v>
          </cell>
          <cell r="N221">
            <v>10000</v>
          </cell>
          <cell r="O221">
            <v>0.50642548337841942</v>
          </cell>
        </row>
        <row r="230">
          <cell r="A230" t="str">
            <v>BIBLOS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6600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6600</v>
          </cell>
          <cell r="N230">
            <v>13200</v>
          </cell>
          <cell r="O230">
            <v>0.66848163805951355</v>
          </cell>
        </row>
        <row r="238">
          <cell r="A238" t="str">
            <v>OIKOS</v>
          </cell>
          <cell r="B238">
            <v>0</v>
          </cell>
          <cell r="C238">
            <v>3232.98</v>
          </cell>
          <cell r="D238">
            <v>3232.98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6465.96</v>
          </cell>
          <cell r="O238">
            <v>0.32745269185055248</v>
          </cell>
        </row>
        <row r="244">
          <cell r="A244" t="str">
            <v>PRODUÇÃO AUDIOVISUAL</v>
          </cell>
          <cell r="B244">
            <v>500</v>
          </cell>
          <cell r="C244">
            <v>1718.1818181818182</v>
          </cell>
          <cell r="D244">
            <v>1718.1818181818182</v>
          </cell>
          <cell r="E244">
            <v>1718.1818181818182</v>
          </cell>
          <cell r="F244">
            <v>1718.1818181818182</v>
          </cell>
          <cell r="G244">
            <v>1718.1818181818182</v>
          </cell>
          <cell r="H244">
            <v>1718.1818181818182</v>
          </cell>
          <cell r="I244">
            <v>1718.1818181818182</v>
          </cell>
          <cell r="J244">
            <v>1718.1818181818182</v>
          </cell>
          <cell r="K244">
            <v>1718.1818181818182</v>
          </cell>
          <cell r="L244">
            <v>1718.1818181818182</v>
          </cell>
          <cell r="M244">
            <v>1718.1818181818182</v>
          </cell>
          <cell r="N244">
            <v>19400</v>
          </cell>
          <cell r="O244">
            <v>0.98246543775413375</v>
          </cell>
        </row>
        <row r="253">
          <cell r="A253" t="str">
            <v>PRODUÇÃO GRÁFICA / IMPRESSÃO</v>
          </cell>
          <cell r="B253">
            <v>0</v>
          </cell>
          <cell r="C253">
            <v>66737.22</v>
          </cell>
          <cell r="D253">
            <v>80738.94</v>
          </cell>
          <cell r="E253">
            <v>80738.94</v>
          </cell>
          <cell r="F253">
            <v>80738.94</v>
          </cell>
          <cell r="G253">
            <v>106351.58</v>
          </cell>
          <cell r="H253">
            <v>106351.58</v>
          </cell>
          <cell r="I253">
            <v>46087.259999999995</v>
          </cell>
          <cell r="J253">
            <v>25612.639999999999</v>
          </cell>
          <cell r="K253">
            <v>25612.639999999999</v>
          </cell>
          <cell r="L253">
            <v>25612.639999999999</v>
          </cell>
          <cell r="M253">
            <v>0</v>
          </cell>
          <cell r="N253">
            <v>644582.38</v>
          </cell>
          <cell r="O253">
            <v>32.6432943368712</v>
          </cell>
        </row>
        <row r="264">
          <cell r="A264" t="str">
            <v>TECNOLOGIA</v>
          </cell>
          <cell r="B264">
            <v>8406.9</v>
          </cell>
          <cell r="C264">
            <v>3411.9</v>
          </cell>
          <cell r="D264">
            <v>3811.9</v>
          </cell>
          <cell r="E264">
            <v>3811.9</v>
          </cell>
          <cell r="F264">
            <v>5711.9</v>
          </cell>
          <cell r="G264">
            <v>6711.9</v>
          </cell>
          <cell r="H264">
            <v>4811.8999999999996</v>
          </cell>
          <cell r="I264">
            <v>4811.8999999999996</v>
          </cell>
          <cell r="J264">
            <v>3811.9</v>
          </cell>
          <cell r="K264">
            <v>3811.9</v>
          </cell>
          <cell r="L264">
            <v>3811.9</v>
          </cell>
          <cell r="M264">
            <v>3811.9</v>
          </cell>
          <cell r="N264">
            <v>56737.799999999996</v>
          </cell>
          <cell r="O264">
            <v>2.8733467790828082</v>
          </cell>
        </row>
        <row r="276">
          <cell r="A276" t="str">
            <v>MARKETING &amp; PUBLICIDADE</v>
          </cell>
          <cell r="B276">
            <v>5433.3333333333339</v>
          </cell>
          <cell r="C276">
            <v>5513.3333333333339</v>
          </cell>
          <cell r="D276">
            <v>4100</v>
          </cell>
          <cell r="E276">
            <v>14100</v>
          </cell>
          <cell r="F276">
            <v>14100</v>
          </cell>
          <cell r="G276">
            <v>14100</v>
          </cell>
          <cell r="H276">
            <v>16600</v>
          </cell>
          <cell r="I276">
            <v>16600</v>
          </cell>
          <cell r="J276">
            <v>16600</v>
          </cell>
          <cell r="K276">
            <v>16600</v>
          </cell>
          <cell r="L276">
            <v>6600.0000000000009</v>
          </cell>
          <cell r="M276">
            <v>6600.0000000000009</v>
          </cell>
          <cell r="N276">
            <v>136946.66666666669</v>
          </cell>
          <cell r="O276">
            <v>6.9353281863729954</v>
          </cell>
        </row>
        <row r="293">
          <cell r="A293" t="str">
            <v>COMERCIAL &amp; RELACIONAMENTO</v>
          </cell>
          <cell r="B293">
            <v>4567.1499999999996</v>
          </cell>
          <cell r="C293">
            <v>6650.4833333333336</v>
          </cell>
          <cell r="D293">
            <v>6650.4833333333336</v>
          </cell>
          <cell r="E293">
            <v>6650.4833333333336</v>
          </cell>
          <cell r="F293">
            <v>5544.7633333333333</v>
          </cell>
          <cell r="G293">
            <v>5544.7633333333333</v>
          </cell>
          <cell r="H293">
            <v>7563.0966666666664</v>
          </cell>
          <cell r="I293">
            <v>5479.7633333333342</v>
          </cell>
          <cell r="J293">
            <v>5479.7633333333342</v>
          </cell>
          <cell r="K293">
            <v>5479.7633333333342</v>
          </cell>
          <cell r="L293">
            <v>4880.2833333333338</v>
          </cell>
          <cell r="M293">
            <v>4880.2833333333338</v>
          </cell>
          <cell r="N293">
            <v>69371.08</v>
          </cell>
          <cell r="O293">
            <v>3.5131282721483004</v>
          </cell>
        </row>
        <row r="300">
          <cell r="A300" t="str">
            <v>LOGÍSTICA &amp; DISTRIBUIÇÃO</v>
          </cell>
          <cell r="B300">
            <v>11866.666666666668</v>
          </cell>
          <cell r="C300">
            <v>4666.666666666667</v>
          </cell>
          <cell r="D300">
            <v>4916.666666666667</v>
          </cell>
          <cell r="E300">
            <v>4916.666666666667</v>
          </cell>
          <cell r="F300">
            <v>4916.666666666667</v>
          </cell>
          <cell r="G300">
            <v>4916.666666666667</v>
          </cell>
          <cell r="H300">
            <v>4916.666666666667</v>
          </cell>
          <cell r="I300">
            <v>750</v>
          </cell>
          <cell r="J300">
            <v>750</v>
          </cell>
          <cell r="K300">
            <v>750</v>
          </cell>
          <cell r="L300">
            <v>750</v>
          </cell>
          <cell r="M300">
            <v>1550</v>
          </cell>
          <cell r="N300">
            <v>45666.666666666672</v>
          </cell>
          <cell r="O300">
            <v>2.312676374094782</v>
          </cell>
        </row>
        <row r="306">
          <cell r="A306" t="str">
            <v>TAXAS &amp; SERVIÇOS FINANCEIROS</v>
          </cell>
          <cell r="B306">
            <v>5292.2746666666671</v>
          </cell>
          <cell r="C306">
            <v>5292.2746666666671</v>
          </cell>
          <cell r="D306">
            <v>5292.2746666666671</v>
          </cell>
          <cell r="E306">
            <v>5292.2746666666671</v>
          </cell>
          <cell r="F306">
            <v>4029.2746666666667</v>
          </cell>
          <cell r="G306">
            <v>3806.2466666666674</v>
          </cell>
          <cell r="H306">
            <v>3706.2466666666674</v>
          </cell>
          <cell r="I306">
            <v>3706.2466666666674</v>
          </cell>
          <cell r="J306">
            <v>3318.2466666666669</v>
          </cell>
          <cell r="K306">
            <v>3318.2466666666669</v>
          </cell>
          <cell r="L306">
            <v>2668.2466666666669</v>
          </cell>
          <cell r="M306">
            <v>2668.2466666666669</v>
          </cell>
          <cell r="N306">
            <v>48390.1</v>
          </cell>
          <cell r="O306">
            <v>2.450597978323005</v>
          </cell>
        </row>
        <row r="314">
          <cell r="A314" t="str">
            <v>REGULATÓRIOS, PROPRIEDADE INTELECTUAL &amp; TAXAS LEGAIS</v>
          </cell>
          <cell r="B314">
            <v>1605.2666666666667</v>
          </cell>
          <cell r="C314">
            <v>166.66666666666666</v>
          </cell>
          <cell r="D314">
            <v>1666.6666666666667</v>
          </cell>
          <cell r="E314">
            <v>1666.6666666666667</v>
          </cell>
          <cell r="F314">
            <v>166.66666666666666</v>
          </cell>
          <cell r="G314">
            <v>166.66666666666666</v>
          </cell>
          <cell r="H314">
            <v>354.26666666666665</v>
          </cell>
          <cell r="I314">
            <v>1886.6666666666667</v>
          </cell>
          <cell r="J314">
            <v>1886.6666666666667</v>
          </cell>
          <cell r="K314">
            <v>1886.6666666666667</v>
          </cell>
          <cell r="L314">
            <v>166.66666666666666</v>
          </cell>
          <cell r="M314">
            <v>354.26666666666665</v>
          </cell>
          <cell r="N314">
            <v>11973.800000000001</v>
          </cell>
          <cell r="O314">
            <v>0.60638374528765193</v>
          </cell>
        </row>
        <row r="315">
          <cell r="A315" t="str">
            <v>ISBN – registro e catalogação dos livros - 1º Ano Fund 1</v>
          </cell>
          <cell r="B315">
            <v>1605.2666666666667</v>
          </cell>
          <cell r="C315">
            <v>166.66666666666666</v>
          </cell>
          <cell r="D315">
            <v>1666.6666666666667</v>
          </cell>
          <cell r="E315">
            <v>1666.6666666666667</v>
          </cell>
          <cell r="F315">
            <v>166.66666666666666</v>
          </cell>
          <cell r="G315">
            <v>166.66666666666666</v>
          </cell>
          <cell r="H315">
            <v>354.26666666666665</v>
          </cell>
          <cell r="I315">
            <v>1886.6666666666667</v>
          </cell>
          <cell r="J315">
            <v>1886.6666666666667</v>
          </cell>
          <cell r="K315">
            <v>2101.6666666666665</v>
          </cell>
          <cell r="L315">
            <v>1886.6666666666667</v>
          </cell>
          <cell r="M315">
            <v>354.26666666666665</v>
          </cell>
          <cell r="N315">
            <v>13908.800000000001</v>
          </cell>
          <cell r="O315">
            <v>0.70437707632137614</v>
          </cell>
        </row>
        <row r="324">
          <cell r="A324" t="str">
            <v>ISBN – registro e catalogação dos livros - 2º Ano Fund 1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1720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1720</v>
          </cell>
          <cell r="O324">
            <v>8.7105183141088144E-2</v>
          </cell>
        </row>
        <row r="333">
          <cell r="A333" t="str">
            <v>ISBN – registro e catalogação dos livros - 3º Ano Fund 1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1720</v>
          </cell>
          <cell r="K333">
            <v>0</v>
          </cell>
          <cell r="L333">
            <v>0</v>
          </cell>
          <cell r="M333">
            <v>0</v>
          </cell>
          <cell r="N333">
            <v>1720</v>
          </cell>
          <cell r="O333">
            <v>8.7105183141088144E-2</v>
          </cell>
        </row>
        <row r="342">
          <cell r="A342" t="str">
            <v>ISBN – registro e catalogação dos livros - 4º Ano Fund 1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1720</v>
          </cell>
          <cell r="L342">
            <v>0</v>
          </cell>
          <cell r="M342">
            <v>0</v>
          </cell>
          <cell r="N342">
            <v>1720</v>
          </cell>
          <cell r="O342">
            <v>8.7105183141088144E-2</v>
          </cell>
        </row>
        <row r="351">
          <cell r="A351" t="str">
            <v>ISBN – registro e catalogação dos livros - 5º Ano Fund 1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215</v>
          </cell>
          <cell r="L351">
            <v>1720</v>
          </cell>
          <cell r="M351">
            <v>0</v>
          </cell>
          <cell r="N351">
            <v>1935</v>
          </cell>
          <cell r="O351">
            <v>9.7993331033724151E-2</v>
          </cell>
        </row>
        <row r="360">
          <cell r="A360" t="str">
            <v xml:space="preserve">ISBN – registro e catalogação dos livros 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187.60000000000002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187.60000000000002</v>
          </cell>
          <cell r="N360">
            <v>375.20000000000005</v>
          </cell>
          <cell r="O360">
            <v>1.9001084136358298E-2</v>
          </cell>
        </row>
        <row r="362">
          <cell r="A362" t="str">
            <v>Registro de marcas</v>
          </cell>
          <cell r="B362">
            <v>166.66666666666666</v>
          </cell>
          <cell r="C362">
            <v>166.66666666666666</v>
          </cell>
          <cell r="D362">
            <v>1666.6666666666667</v>
          </cell>
          <cell r="E362">
            <v>1666.6666666666667</v>
          </cell>
          <cell r="F362">
            <v>166.66666666666666</v>
          </cell>
          <cell r="G362">
            <v>166.66666666666666</v>
          </cell>
          <cell r="H362">
            <v>166.66666666666666</v>
          </cell>
          <cell r="I362">
            <v>166.66666666666666</v>
          </cell>
          <cell r="J362">
            <v>166.66666666666666</v>
          </cell>
          <cell r="K362">
            <v>166.66666666666666</v>
          </cell>
          <cell r="L362">
            <v>166.66666666666666</v>
          </cell>
          <cell r="M362">
            <v>166.66666666666666</v>
          </cell>
          <cell r="N362">
            <v>5000</v>
          </cell>
          <cell r="O362">
            <v>0.25321274168920971</v>
          </cell>
        </row>
        <row r="368">
          <cell r="A368" t="str">
            <v>VIAGENS &amp; REPRESENTAÇÃO</v>
          </cell>
          <cell r="B368">
            <v>0</v>
          </cell>
          <cell r="C368">
            <v>0</v>
          </cell>
          <cell r="D368">
            <v>0</v>
          </cell>
          <cell r="E368">
            <v>333.33333333333331</v>
          </cell>
          <cell r="F368">
            <v>333.33333333333331</v>
          </cell>
          <cell r="G368">
            <v>1183.3333333333335</v>
          </cell>
          <cell r="H368">
            <v>1683.3333333333333</v>
          </cell>
          <cell r="I368">
            <v>1683.3333333333333</v>
          </cell>
          <cell r="J368">
            <v>1683.3333333333333</v>
          </cell>
          <cell r="K368">
            <v>1683.3333333333333</v>
          </cell>
          <cell r="L368">
            <v>1683.3333333333333</v>
          </cell>
          <cell r="M368">
            <v>1683.3333333333333</v>
          </cell>
          <cell r="N368">
            <v>11950</v>
          </cell>
          <cell r="O368">
            <v>0.60517845263721115</v>
          </cell>
        </row>
        <row r="374">
          <cell r="A374" t="str">
            <v>INFRAESTRUTURA &amp; UTILIDADES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2F23-9A58-4341-BFF4-BFC7513E7D68}">
  <dimension ref="A1:O48"/>
  <sheetViews>
    <sheetView tabSelected="1" workbookViewId="0">
      <selection activeCell="C15" sqref="C15"/>
    </sheetView>
  </sheetViews>
  <sheetFormatPr defaultColWidth="21.5703125" defaultRowHeight="15" x14ac:dyDescent="0.25"/>
  <cols>
    <col min="1" max="1" width="36.42578125" customWidth="1"/>
    <col min="2" max="2" width="9.140625" bestFit="1" customWidth="1"/>
    <col min="3" max="12" width="10.140625" bestFit="1" customWidth="1"/>
    <col min="13" max="13" width="9.140625" bestFit="1" customWidth="1"/>
    <col min="14" max="14" width="11.7109375" bestFit="1" customWidth="1"/>
    <col min="15" max="15" width="13.85546875" bestFit="1" customWidth="1"/>
  </cols>
  <sheetData>
    <row r="1" spans="1:1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x14ac:dyDescent="0.25">
      <c r="A2" s="4" t="str">
        <f>'[1]Orçamento geral_2026_detalhado'!A2</f>
        <v>TOTAL GERAL</v>
      </c>
      <c r="B2" s="5">
        <f>'[1]Orçamento geral_2026_detalhado'!B2</f>
        <v>82466.717333333349</v>
      </c>
      <c r="C2" s="5">
        <f>'[1]Orçamento geral_2026_detalhado'!C2</f>
        <v>202956.06448484847</v>
      </c>
      <c r="D2" s="5">
        <f>'[1]Orçamento geral_2026_detalhado'!D2</f>
        <v>204123.35181818181</v>
      </c>
      <c r="E2" s="5">
        <f>'[1]Orçamento geral_2026_detalhado'!E2</f>
        <v>206223.70515151511</v>
      </c>
      <c r="F2" s="5">
        <f>'[1]Orçamento geral_2026_detalhado'!F2</f>
        <v>177140.58515151512</v>
      </c>
      <c r="G2" s="5">
        <f>'[1]Orçamento geral_2026_detalhado'!G2</f>
        <v>208980.19715151514</v>
      </c>
      <c r="H2" s="5">
        <f>'[1]Orçamento geral_2026_detalhado'!H2</f>
        <v>204466.13048484849</v>
      </c>
      <c r="I2" s="5">
        <f>'[1]Orçamento geral_2026_detalhado'!I2</f>
        <v>175138.26108008658</v>
      </c>
      <c r="J2" s="5">
        <f>'[1]Orçamento geral_2026_detalhado'!J2</f>
        <v>153275.64108008656</v>
      </c>
      <c r="K2" s="5">
        <f>'[1]Orçamento geral_2026_detalhado'!K2</f>
        <v>140694.79643722941</v>
      </c>
      <c r="L2" s="5">
        <f>'[1]Orçamento geral_2026_detalhado'!L2</f>
        <v>127563.64977056278</v>
      </c>
      <c r="M2" s="5">
        <f>'[1]Orçamento geral_2026_detalhado'!M2</f>
        <v>91595.070484848489</v>
      </c>
      <c r="N2" s="5">
        <f>'[1]Orçamento geral_2026_detalhado'!N2</f>
        <v>1974624.170428572</v>
      </c>
      <c r="O2" s="5">
        <f>'[1]Orçamento geral_2026_detalhado'!O2</f>
        <v>100</v>
      </c>
    </row>
    <row r="3" spans="1:15" x14ac:dyDescent="0.25">
      <c r="A3" s="6" t="str">
        <f>'[1]Orçamento geral_2026_detalhado'!A3</f>
        <v>PESSOAL (CLT e PJ recorrente)</v>
      </c>
      <c r="B3" s="7">
        <f>'[1]Orçamento geral_2026_detalhado'!B3</f>
        <v>42695.126000000004</v>
      </c>
      <c r="C3" s="7">
        <f>'[1]Orçamento geral_2026_detalhado'!C3</f>
        <v>42578.288</v>
      </c>
      <c r="D3" s="7">
        <f>'[1]Orçamento geral_2026_detalhado'!D3</f>
        <v>54795.525333333338</v>
      </c>
      <c r="E3" s="7">
        <f>'[1]Orçamento geral_2026_detalhado'!E3</f>
        <v>54795.525333333338</v>
      </c>
      <c r="F3" s="7">
        <f>'[1]Orçamento geral_2026_detalhado'!F3</f>
        <v>54795.525333333338</v>
      </c>
      <c r="G3" s="7">
        <f>'[1]Orçamento geral_2026_detalhado'!G3</f>
        <v>54795.525333333338</v>
      </c>
      <c r="H3" s="7">
        <f>'[1]Orçamento geral_2026_detalhado'!H3</f>
        <v>54795.525333333338</v>
      </c>
      <c r="I3" s="7">
        <f>'[1]Orçamento geral_2026_detalhado'!I3</f>
        <v>54795.525333333338</v>
      </c>
      <c r="J3" s="7">
        <f>'[1]Orçamento geral_2026_detalhado'!J3</f>
        <v>54795.525333333338</v>
      </c>
      <c r="K3" s="7">
        <f>'[1]Orçamento geral_2026_detalhado'!K3</f>
        <v>54795.525333333338</v>
      </c>
      <c r="L3" s="7">
        <f>'[1]Orçamento geral_2026_detalhado'!L3</f>
        <v>54795.525333333338</v>
      </c>
      <c r="M3" s="7">
        <f>'[1]Orçamento geral_2026_detalhado'!M3</f>
        <v>54795.525333333338</v>
      </c>
      <c r="N3" s="7">
        <f>'[1]Orçamento geral_2026_detalhado'!N3</f>
        <v>633228.6673333334</v>
      </c>
      <c r="O3" s="7">
        <f>'[1]Orçamento geral_2026_detalhado'!O3</f>
        <v>32.068313394335576</v>
      </c>
    </row>
    <row r="4" spans="1:15" x14ac:dyDescent="0.25">
      <c r="A4" s="8" t="str">
        <f>'[1]Orçamento geral_2026_detalhado'!A4</f>
        <v>Folha CLT</v>
      </c>
      <c r="B4" s="9">
        <f>'[1]Orçamento geral_2026_detalhado'!B4</f>
        <v>14436.036</v>
      </c>
      <c r="C4" s="9">
        <f>'[1]Orçamento geral_2026_detalhado'!C4</f>
        <v>14319.198</v>
      </c>
      <c r="D4" s="9">
        <f>'[1]Orçamento geral_2026_detalhado'!D4</f>
        <v>16236.435333333335</v>
      </c>
      <c r="E4" s="9">
        <f>'[1]Orçamento geral_2026_detalhado'!E4</f>
        <v>16236.435333333335</v>
      </c>
      <c r="F4" s="9">
        <f>'[1]Orçamento geral_2026_detalhado'!F4</f>
        <v>16236.435333333335</v>
      </c>
      <c r="G4" s="9">
        <f>'[1]Orçamento geral_2026_detalhado'!G4</f>
        <v>16236.435333333335</v>
      </c>
      <c r="H4" s="9">
        <f>'[1]Orçamento geral_2026_detalhado'!H4</f>
        <v>16236.435333333335</v>
      </c>
      <c r="I4" s="9">
        <f>'[1]Orçamento geral_2026_detalhado'!I4</f>
        <v>16236.435333333335</v>
      </c>
      <c r="J4" s="9">
        <f>'[1]Orçamento geral_2026_detalhado'!J4</f>
        <v>16236.435333333335</v>
      </c>
      <c r="K4" s="9">
        <f>'[1]Orçamento geral_2026_detalhado'!K4</f>
        <v>16236.435333333335</v>
      </c>
      <c r="L4" s="9">
        <f>'[1]Orçamento geral_2026_detalhado'!L4</f>
        <v>16236.435333333335</v>
      </c>
      <c r="M4" s="9">
        <f>'[1]Orçamento geral_2026_detalhado'!M4</f>
        <v>16236.435333333335</v>
      </c>
      <c r="N4" s="9">
        <f>'[1]Orçamento geral_2026_detalhado'!N4</f>
        <v>191119.58733333336</v>
      </c>
      <c r="O4" s="9">
        <f>'[1]Orçamento geral_2026_detalhado'!O4</f>
        <v>9.6787829398367382</v>
      </c>
    </row>
    <row r="5" spans="1:15" x14ac:dyDescent="0.25">
      <c r="A5" s="8" t="str">
        <f>'[1]Orçamento geral_2026_detalhado'!A9</f>
        <v>PJs recorrentes</v>
      </c>
      <c r="B5" s="9">
        <f>'[1]Orçamento geral_2026_detalhado'!B9</f>
        <v>28259.09</v>
      </c>
      <c r="C5" s="9">
        <f>'[1]Orçamento geral_2026_detalhado'!C9</f>
        <v>28259.09</v>
      </c>
      <c r="D5" s="9">
        <f>'[1]Orçamento geral_2026_detalhado'!D9</f>
        <v>38559.089999999997</v>
      </c>
      <c r="E5" s="9">
        <f>'[1]Orçamento geral_2026_detalhado'!E9</f>
        <v>38559.089999999997</v>
      </c>
      <c r="F5" s="9">
        <f>'[1]Orçamento geral_2026_detalhado'!F9</f>
        <v>38559.089999999997</v>
      </c>
      <c r="G5" s="9">
        <f>'[1]Orçamento geral_2026_detalhado'!G9</f>
        <v>38559.089999999997</v>
      </c>
      <c r="H5" s="9">
        <f>'[1]Orçamento geral_2026_detalhado'!H9</f>
        <v>38559.089999999997</v>
      </c>
      <c r="I5" s="9">
        <f>'[1]Orçamento geral_2026_detalhado'!I9</f>
        <v>38559.089999999997</v>
      </c>
      <c r="J5" s="9">
        <f>'[1]Orçamento geral_2026_detalhado'!J9</f>
        <v>38559.089999999997</v>
      </c>
      <c r="K5" s="9">
        <f>'[1]Orçamento geral_2026_detalhado'!K9</f>
        <v>38559.089999999997</v>
      </c>
      <c r="L5" s="9">
        <f>'[1]Orçamento geral_2026_detalhado'!L9</f>
        <v>38559.089999999997</v>
      </c>
      <c r="M5" s="9">
        <f>'[1]Orçamento geral_2026_detalhado'!M9</f>
        <v>38559.089999999997</v>
      </c>
      <c r="N5" s="9">
        <f>'[1]Orçamento geral_2026_detalhado'!N9</f>
        <v>442109.08000000007</v>
      </c>
      <c r="O5" s="9">
        <f>'[1]Orçamento geral_2026_detalhado'!O9</f>
        <v>22.389530454498832</v>
      </c>
    </row>
    <row r="6" spans="1:15" ht="26.25" x14ac:dyDescent="0.25">
      <c r="A6" s="6" t="str">
        <f>'[1]Orçamento geral_2026_detalhado'!A20</f>
        <v>PRODUÇÃO PEDAGÓGICA &amp; EDITORIAL (Conteúdo)</v>
      </c>
      <c r="B6" s="7">
        <f>'[1]Orçamento geral_2026_detalhado'!B20</f>
        <v>2100</v>
      </c>
      <c r="C6" s="7">
        <f>'[1]Orçamento geral_2026_detalhado'!C20</f>
        <v>66221.05</v>
      </c>
      <c r="D6" s="7">
        <f>'[1]Orçamento geral_2026_detalhado'!D20</f>
        <v>40432.713333333333</v>
      </c>
      <c r="E6" s="7">
        <f>'[1]Orçamento geral_2026_detalhado'!E20</f>
        <v>32199.733333333334</v>
      </c>
      <c r="F6" s="7">
        <f>'[1]Orçamento geral_2026_detalhado'!F20</f>
        <v>5085.3333333333339</v>
      </c>
      <c r="G6" s="7">
        <f>'[1]Orçamento geral_2026_detalhado'!G20</f>
        <v>9685.3333333333339</v>
      </c>
      <c r="H6" s="7">
        <f>'[1]Orçamento geral_2026_detalhado'!H20</f>
        <v>1965.3333333333335</v>
      </c>
      <c r="I6" s="7">
        <f>'[1]Orçamento geral_2026_detalhado'!I20</f>
        <v>37619.38392857142</v>
      </c>
      <c r="J6" s="7">
        <f>'[1]Orçamento geral_2026_detalhado'!J20</f>
        <v>37619.38392857142</v>
      </c>
      <c r="K6" s="7">
        <f>'[1]Orçamento geral_2026_detalhado'!K20</f>
        <v>24823.539285714287</v>
      </c>
      <c r="L6" s="7">
        <f>'[1]Orçamento geral_2026_detalhado'!L20</f>
        <v>23156.872619047619</v>
      </c>
      <c r="M6" s="7">
        <f>'[1]Orçamento geral_2026_detalhado'!M20</f>
        <v>13533.333333333334</v>
      </c>
      <c r="N6" s="7">
        <f>'[1]Orçamento geral_2026_detalhado'!N20</f>
        <v>294442.00976190489</v>
      </c>
      <c r="O6" s="7">
        <f>'[1]Orçamento geral_2026_detalhado'!O20</f>
        <v>14.911293712058596</v>
      </c>
    </row>
    <row r="7" spans="1:15" x14ac:dyDescent="0.25">
      <c r="A7" s="10" t="str">
        <f>'[1]Orçamento geral_2026_detalhado'!A21</f>
        <v>PAIDEIA INFANTIL</v>
      </c>
      <c r="B7" s="11">
        <f>'[1]Orçamento geral_2026_detalhado'!B21</f>
        <v>100</v>
      </c>
      <c r="C7" s="11">
        <f>'[1]Orçamento geral_2026_detalhado'!C21</f>
        <v>26866.666666666668</v>
      </c>
      <c r="D7" s="11">
        <f>'[1]Orçamento geral_2026_detalhado'!D21</f>
        <v>5105.333333333333</v>
      </c>
      <c r="E7" s="11">
        <f>'[1]Orçamento geral_2026_detalhado'!E21</f>
        <v>5105.333333333333</v>
      </c>
      <c r="F7" s="11">
        <f>'[1]Orçamento geral_2026_detalhado'!F21</f>
        <v>3085.3333333333335</v>
      </c>
      <c r="G7" s="11">
        <f>'[1]Orçamento geral_2026_detalhado'!G21</f>
        <v>3085.3333333333335</v>
      </c>
      <c r="H7" s="11">
        <f>'[1]Orçamento geral_2026_detalhado'!H21</f>
        <v>1965.3333333333335</v>
      </c>
      <c r="I7" s="11">
        <f>'[1]Orçamento geral_2026_detalhado'!I21</f>
        <v>933.33333333333337</v>
      </c>
      <c r="J7" s="11">
        <f>'[1]Orçamento geral_2026_detalhado'!J21</f>
        <v>933.33333333333337</v>
      </c>
      <c r="K7" s="11">
        <f>'[1]Orçamento geral_2026_detalhado'!K21</f>
        <v>933.33333333333337</v>
      </c>
      <c r="L7" s="11">
        <f>'[1]Orçamento geral_2026_detalhado'!L21</f>
        <v>933.33333333333337</v>
      </c>
      <c r="M7" s="11">
        <f>'[1]Orçamento geral_2026_detalhado'!M21</f>
        <v>933.33333333333337</v>
      </c>
      <c r="N7" s="11">
        <f>'[1]Orçamento geral_2026_detalhado'!N21</f>
        <v>49980</v>
      </c>
      <c r="O7" s="11">
        <f>'[1]Orçamento geral_2026_detalhado'!O21</f>
        <v>2.53111456592534</v>
      </c>
    </row>
    <row r="8" spans="1:15" ht="39" x14ac:dyDescent="0.25">
      <c r="A8" s="10" t="str">
        <f>'[1]Orçamento geral_2026_detalhado'!A32</f>
        <v>PRODUÇÃO FUDAMENTAL 1 (Pagamento de 50% em 2026 do 2º ano ao 5º ano)</v>
      </c>
      <c r="B8" s="11">
        <f>'[1]Orçamento geral_2026_detalhado'!B32</f>
        <v>2000</v>
      </c>
      <c r="C8" s="11">
        <f>'[1]Orçamento geral_2026_detalhado'!C32</f>
        <v>36121.403333333335</v>
      </c>
      <c r="D8" s="11">
        <f>'[1]Orçamento geral_2026_detalhado'!D32</f>
        <v>32094.400000000001</v>
      </c>
      <c r="E8" s="11">
        <f>'[1]Orçamento geral_2026_detalhado'!E32</f>
        <v>27094.400000000001</v>
      </c>
      <c r="F8" s="11">
        <f>'[1]Orçamento geral_2026_detalhado'!F32</f>
        <v>2000</v>
      </c>
      <c r="G8" s="11">
        <f>'[1]Orçamento geral_2026_detalhado'!G32</f>
        <v>0</v>
      </c>
      <c r="H8" s="11">
        <f>'[1]Orçamento geral_2026_detalhado'!H32</f>
        <v>0</v>
      </c>
      <c r="I8" s="11">
        <f>'[1]Orçamento geral_2026_detalhado'!I32</f>
        <v>36686.050595238092</v>
      </c>
      <c r="J8" s="11">
        <f>'[1]Orçamento geral_2026_detalhado'!J32</f>
        <v>36686.050595238092</v>
      </c>
      <c r="K8" s="11">
        <f>'[1]Orçamento geral_2026_detalhado'!K32</f>
        <v>23890.205952380951</v>
      </c>
      <c r="L8" s="11">
        <f>'[1]Orçamento geral_2026_detalhado'!L32</f>
        <v>22223.539285714287</v>
      </c>
      <c r="M8" s="11">
        <f>'[1]Orçamento geral_2026_detalhado'!M32</f>
        <v>6000</v>
      </c>
      <c r="N8" s="11">
        <f>'[1]Orçamento geral_2026_detalhado'!N32</f>
        <v>224796.04976190484</v>
      </c>
      <c r="O8" s="11">
        <f>'[1]Orçamento geral_2026_detalhado'!O32</f>
        <v>11.384244816223188</v>
      </c>
    </row>
    <row r="9" spans="1:15" x14ac:dyDescent="0.25">
      <c r="A9" s="8" t="str">
        <f>'[1]Orçamento geral_2026_detalhado'!A33</f>
        <v>Autoria  - 1º Ano Fund 1</v>
      </c>
      <c r="B9" s="9">
        <f>'[1]Orçamento geral_2026_detalhado'!B33</f>
        <v>0</v>
      </c>
      <c r="C9" s="9">
        <f>'[1]Orçamento geral_2026_detalhado'!C33</f>
        <v>36121.403333333335</v>
      </c>
      <c r="D9" s="9">
        <f>'[1]Orçamento geral_2026_detalhado'!D33</f>
        <v>32094.400000000001</v>
      </c>
      <c r="E9" s="9">
        <f>'[1]Orçamento geral_2026_detalhado'!E33</f>
        <v>27094.400000000001</v>
      </c>
      <c r="F9" s="9">
        <f>'[1]Orçamento geral_2026_detalhado'!F33</f>
        <v>0</v>
      </c>
      <c r="G9" s="9">
        <f>'[1]Orçamento geral_2026_detalhado'!G33</f>
        <v>0</v>
      </c>
      <c r="H9" s="9">
        <f>'[1]Orçamento geral_2026_detalhado'!H33</f>
        <v>0</v>
      </c>
      <c r="I9" s="9">
        <f>'[1]Orçamento geral_2026_detalhado'!I33</f>
        <v>1666.6666666666667</v>
      </c>
      <c r="J9" s="9">
        <f>'[1]Orçamento geral_2026_detalhado'!J33</f>
        <v>1666.6666666666667</v>
      </c>
      <c r="K9" s="9">
        <f>'[1]Orçamento geral_2026_detalhado'!K33</f>
        <v>1666.6666666666667</v>
      </c>
      <c r="L9" s="9">
        <f>'[1]Orçamento geral_2026_detalhado'!L33</f>
        <v>0</v>
      </c>
      <c r="M9" s="9">
        <f>'[1]Orçamento geral_2026_detalhado'!M33</f>
        <v>0</v>
      </c>
      <c r="N9" s="9">
        <f>'[1]Orçamento geral_2026_detalhado'!N33</f>
        <v>100310.20333333334</v>
      </c>
      <c r="O9" s="9">
        <f>'[1]Orçamento geral_2026_detalhado'!O33</f>
        <v>5.0799643210870871</v>
      </c>
    </row>
    <row r="10" spans="1:15" x14ac:dyDescent="0.25">
      <c r="A10" s="8" t="str">
        <f>'[1]Orçamento geral_2026_detalhado'!A42</f>
        <v>Revisão ortográfica - 1º Ano Fund 1</v>
      </c>
      <c r="B10" s="9">
        <f>'[1]Orçamento geral_2026_detalhado'!B42</f>
        <v>0</v>
      </c>
      <c r="C10" s="9">
        <f>'[1]Orçamento geral_2026_detalhado'!C42</f>
        <v>0</v>
      </c>
      <c r="D10" s="9">
        <f>'[1]Orçamento geral_2026_detalhado'!D42</f>
        <v>0</v>
      </c>
      <c r="E10" s="9">
        <f>'[1]Orçamento geral_2026_detalhado'!E42</f>
        <v>0</v>
      </c>
      <c r="F10" s="9">
        <f>'[1]Orçamento geral_2026_detalhado'!F42</f>
        <v>0</v>
      </c>
      <c r="G10" s="9">
        <f>'[1]Orçamento geral_2026_detalhado'!G42</f>
        <v>0</v>
      </c>
      <c r="H10" s="9">
        <f>'[1]Orçamento geral_2026_detalhado'!H42</f>
        <v>0</v>
      </c>
      <c r="I10" s="9">
        <f>'[1]Orçamento geral_2026_detalhado'!I42</f>
        <v>1306.2346428571425</v>
      </c>
      <c r="J10" s="9">
        <f>'[1]Orçamento geral_2026_detalhado'!J42</f>
        <v>1306.2346428571425</v>
      </c>
      <c r="K10" s="9">
        <f>'[1]Orçamento geral_2026_detalhado'!K42</f>
        <v>0</v>
      </c>
      <c r="L10" s="9">
        <f>'[1]Orçamento geral_2026_detalhado'!L42</f>
        <v>0</v>
      </c>
      <c r="M10" s="9">
        <f>'[1]Orçamento geral_2026_detalhado'!M42</f>
        <v>0</v>
      </c>
      <c r="N10" s="9">
        <f>'[1]Orçamento geral_2026_detalhado'!N42</f>
        <v>2612.469285714285</v>
      </c>
      <c r="O10" s="9">
        <f>'[1]Orçamento geral_2026_detalhado'!O42</f>
        <v>0.1323021020829131</v>
      </c>
    </row>
    <row r="11" spans="1:15" x14ac:dyDescent="0.25">
      <c r="A11" s="8" t="str">
        <f>'[1]Orçamento geral_2026_detalhado'!A51</f>
        <v>Ilustração - 1º Ano Fund 1</v>
      </c>
      <c r="B11" s="9">
        <f>'[1]Orçamento geral_2026_detalhado'!B51</f>
        <v>0</v>
      </c>
      <c r="C11" s="9">
        <f>'[1]Orçamento geral_2026_detalhado'!C51</f>
        <v>0</v>
      </c>
      <c r="D11" s="9">
        <f>'[1]Orçamento geral_2026_detalhado'!D51</f>
        <v>0</v>
      </c>
      <c r="E11" s="9">
        <f>'[1]Orçamento geral_2026_detalhado'!E51</f>
        <v>0</v>
      </c>
      <c r="F11" s="9">
        <f>'[1]Orçamento geral_2026_detalhado'!F51</f>
        <v>0</v>
      </c>
      <c r="G11" s="9">
        <f>'[1]Orçamento geral_2026_detalhado'!G51</f>
        <v>0</v>
      </c>
      <c r="H11" s="9">
        <f>'[1]Orçamento geral_2026_detalhado'!H51</f>
        <v>0</v>
      </c>
      <c r="I11" s="9">
        <f>'[1]Orçamento geral_2026_detalhado'!I51</f>
        <v>2500</v>
      </c>
      <c r="J11" s="9">
        <f>'[1]Orçamento geral_2026_detalhado'!J51</f>
        <v>2500</v>
      </c>
      <c r="K11" s="9">
        <f>'[1]Orçamento geral_2026_detalhado'!K51</f>
        <v>0</v>
      </c>
      <c r="L11" s="9">
        <f>'[1]Orçamento geral_2026_detalhado'!L51</f>
        <v>0</v>
      </c>
      <c r="M11" s="9">
        <f>'[1]Orçamento geral_2026_detalhado'!M51</f>
        <v>0</v>
      </c>
      <c r="N11" s="9">
        <f>'[1]Orçamento geral_2026_detalhado'!N51</f>
        <v>5000</v>
      </c>
      <c r="O11" s="9">
        <f>'[1]Orçamento geral_2026_detalhado'!O51</f>
        <v>0.25321274168920971</v>
      </c>
    </row>
    <row r="12" spans="1:15" x14ac:dyDescent="0.25">
      <c r="A12" s="8" t="str">
        <f>'[1]Orçamento geral_2026_detalhado'!A60</f>
        <v>Diagramação - 1º Ano Fund 1</v>
      </c>
      <c r="B12" s="9">
        <f>'[1]Orçamento geral_2026_detalhado'!B60</f>
        <v>0</v>
      </c>
      <c r="C12" s="9">
        <f>'[1]Orçamento geral_2026_detalhado'!C60</f>
        <v>0</v>
      </c>
      <c r="D12" s="9">
        <f>'[1]Orçamento geral_2026_detalhado'!D60</f>
        <v>0</v>
      </c>
      <c r="E12" s="9">
        <f>'[1]Orçamento geral_2026_detalhado'!E60</f>
        <v>0</v>
      </c>
      <c r="F12" s="9">
        <f>'[1]Orçamento geral_2026_detalhado'!F60</f>
        <v>0</v>
      </c>
      <c r="G12" s="9">
        <f>'[1]Orçamento geral_2026_detalhado'!G60</f>
        <v>0</v>
      </c>
      <c r="H12" s="9">
        <f>'[1]Orçamento geral_2026_detalhado'!H60</f>
        <v>0</v>
      </c>
      <c r="I12" s="9">
        <f>'[1]Orçamento geral_2026_detalhado'!I60</f>
        <v>4393.04</v>
      </c>
      <c r="J12" s="9">
        <f>'[1]Orçamento geral_2026_detalhado'!J60</f>
        <v>4393.04</v>
      </c>
      <c r="K12" s="9">
        <f>'[1]Orçamento geral_2026_detalhado'!K60</f>
        <v>0</v>
      </c>
      <c r="L12" s="9">
        <f>'[1]Orçamento geral_2026_detalhado'!L60</f>
        <v>0</v>
      </c>
      <c r="M12" s="9">
        <f>'[1]Orçamento geral_2026_detalhado'!M60</f>
        <v>0</v>
      </c>
      <c r="N12" s="9">
        <f>'[1]Orçamento geral_2026_detalhado'!N60</f>
        <v>8786.08</v>
      </c>
      <c r="O12" s="9">
        <f>'[1]Orçamento geral_2026_detalhado'!O60</f>
        <v>0.44494948110014632</v>
      </c>
    </row>
    <row r="13" spans="1:15" x14ac:dyDescent="0.25">
      <c r="A13" s="8" t="str">
        <f>'[1]Orçamento geral_2026_detalhado'!A77</f>
        <v>Autoria  - 2º Ano Fund 1</v>
      </c>
      <c r="B13" s="9">
        <f>'[1]Orçamento geral_2026_detalhado'!B77</f>
        <v>0</v>
      </c>
      <c r="C13" s="9">
        <f>'[1]Orçamento geral_2026_detalhado'!C77</f>
        <v>0</v>
      </c>
      <c r="D13" s="9">
        <f>'[1]Orçamento geral_2026_detalhado'!D77</f>
        <v>0</v>
      </c>
      <c r="E13" s="9">
        <f>'[1]Orçamento geral_2026_detalhado'!E77</f>
        <v>0</v>
      </c>
      <c r="F13" s="9">
        <f>'[1]Orçamento geral_2026_detalhado'!F77</f>
        <v>0</v>
      </c>
      <c r="G13" s="9">
        <f>'[1]Orçamento geral_2026_detalhado'!G77</f>
        <v>0</v>
      </c>
      <c r="H13" s="9">
        <f>'[1]Orçamento geral_2026_detalhado'!H77</f>
        <v>0</v>
      </c>
      <c r="I13" s="9">
        <f>'[1]Orçamento geral_2026_detalhado'!I77</f>
        <v>0</v>
      </c>
      <c r="J13" s="9">
        <f>'[1]Orçamento geral_2026_detalhado'!J77</f>
        <v>0</v>
      </c>
      <c r="K13" s="9">
        <f>'[1]Orçamento geral_2026_detalhado'!K77</f>
        <v>0</v>
      </c>
      <c r="L13" s="9">
        <f>'[1]Orçamento geral_2026_detalhado'!L77</f>
        <v>0</v>
      </c>
      <c r="M13" s="9">
        <f>'[1]Orçamento geral_2026_detalhado'!M77</f>
        <v>0</v>
      </c>
      <c r="N13" s="9">
        <f>'[1]Orçamento geral_2026_detalhado'!N77</f>
        <v>0</v>
      </c>
      <c r="O13" s="9">
        <f>'[1]Orçamento geral_2026_detalhado'!O77</f>
        <v>0</v>
      </c>
    </row>
    <row r="14" spans="1:15" x14ac:dyDescent="0.25">
      <c r="A14" s="8" t="str">
        <f>'[1]Orçamento geral_2026_detalhado'!A86</f>
        <v>Revisão ortográfica - 2º Ano Fund 1</v>
      </c>
      <c r="B14" s="9">
        <f>'[1]Orçamento geral_2026_detalhado'!B86</f>
        <v>0</v>
      </c>
      <c r="C14" s="9">
        <f>'[1]Orçamento geral_2026_detalhado'!C86</f>
        <v>0</v>
      </c>
      <c r="D14" s="9">
        <f>'[1]Orçamento geral_2026_detalhado'!D86</f>
        <v>0</v>
      </c>
      <c r="E14" s="9">
        <f>'[1]Orçamento geral_2026_detalhado'!E86</f>
        <v>0</v>
      </c>
      <c r="F14" s="9">
        <f>'[1]Orçamento geral_2026_detalhado'!F86</f>
        <v>0</v>
      </c>
      <c r="G14" s="9">
        <f>'[1]Orçamento geral_2026_detalhado'!G86</f>
        <v>0</v>
      </c>
      <c r="H14" s="9">
        <f>'[1]Orçamento geral_2026_detalhado'!H86</f>
        <v>0</v>
      </c>
      <c r="I14" s="9">
        <f>'[1]Orçamento geral_2026_detalhado'!I86</f>
        <v>5687.5392857142851</v>
      </c>
      <c r="J14" s="9">
        <f>'[1]Orçamento geral_2026_detalhado'!J86</f>
        <v>0</v>
      </c>
      <c r="K14" s="9">
        <f>'[1]Orçamento geral_2026_detalhado'!K86</f>
        <v>0</v>
      </c>
      <c r="L14" s="9">
        <f>'[1]Orçamento geral_2026_detalhado'!L86</f>
        <v>0</v>
      </c>
      <c r="M14" s="9">
        <f>'[1]Orçamento geral_2026_detalhado'!M86</f>
        <v>0</v>
      </c>
      <c r="N14" s="9">
        <f>'[1]Orçamento geral_2026_detalhado'!N86</f>
        <v>5687.5392857142851</v>
      </c>
      <c r="O14" s="9">
        <f>'[1]Orçamento geral_2026_detalhado'!O86</f>
        <v>0.2880314832001607</v>
      </c>
    </row>
    <row r="15" spans="1:15" x14ac:dyDescent="0.25">
      <c r="A15" s="8" t="str">
        <f>'[1]Orçamento geral_2026_detalhado'!A95</f>
        <v>Ilustração - 2º Ano Fund 1</v>
      </c>
      <c r="B15" s="9">
        <f>'[1]Orçamento geral_2026_detalhado'!B95</f>
        <v>0</v>
      </c>
      <c r="C15" s="9">
        <f>'[1]Orçamento geral_2026_detalhado'!C95</f>
        <v>0</v>
      </c>
      <c r="D15" s="9">
        <f>'[1]Orçamento geral_2026_detalhado'!D95</f>
        <v>0</v>
      </c>
      <c r="E15" s="9">
        <f>'[1]Orçamento geral_2026_detalhado'!E95</f>
        <v>0</v>
      </c>
      <c r="F15" s="9">
        <f>'[1]Orçamento geral_2026_detalhado'!F95</f>
        <v>0</v>
      </c>
      <c r="G15" s="9">
        <f>'[1]Orçamento geral_2026_detalhado'!G95</f>
        <v>0</v>
      </c>
      <c r="H15" s="9">
        <f>'[1]Orçamento geral_2026_detalhado'!H95</f>
        <v>0</v>
      </c>
      <c r="I15" s="9">
        <f>'[1]Orçamento geral_2026_detalhado'!I95</f>
        <v>2000</v>
      </c>
      <c r="J15" s="9">
        <f>'[1]Orçamento geral_2026_detalhado'!J95</f>
        <v>2000</v>
      </c>
      <c r="K15" s="9">
        <f>'[1]Orçamento geral_2026_detalhado'!K95</f>
        <v>2000</v>
      </c>
      <c r="L15" s="9">
        <f>'[1]Orçamento geral_2026_detalhado'!L95</f>
        <v>0</v>
      </c>
      <c r="M15" s="9">
        <f>'[1]Orçamento geral_2026_detalhado'!M95</f>
        <v>0</v>
      </c>
      <c r="N15" s="9">
        <f>'[1]Orçamento geral_2026_detalhado'!N95</f>
        <v>6000</v>
      </c>
      <c r="O15" s="9">
        <f>'[1]Orçamento geral_2026_detalhado'!O95</f>
        <v>0.30385529002705164</v>
      </c>
    </row>
    <row r="16" spans="1:15" x14ac:dyDescent="0.25">
      <c r="A16" s="8" t="str">
        <f>'[1]Orçamento geral_2026_detalhado'!A104</f>
        <v>Diagramação - 2º Ano Fund 1</v>
      </c>
      <c r="B16" s="9">
        <f>'[1]Orçamento geral_2026_detalhado'!B104</f>
        <v>0</v>
      </c>
      <c r="C16" s="9">
        <f>'[1]Orçamento geral_2026_detalhado'!C104</f>
        <v>0</v>
      </c>
      <c r="D16" s="9">
        <f>'[1]Orçamento geral_2026_detalhado'!D104</f>
        <v>0</v>
      </c>
      <c r="E16" s="9">
        <f>'[1]Orçamento geral_2026_detalhado'!E104</f>
        <v>0</v>
      </c>
      <c r="F16" s="9">
        <f>'[1]Orçamento geral_2026_detalhado'!F104</f>
        <v>0</v>
      </c>
      <c r="G16" s="9">
        <f>'[1]Orçamento geral_2026_detalhado'!G104</f>
        <v>0</v>
      </c>
      <c r="H16" s="9">
        <f>'[1]Orçamento geral_2026_detalhado'!H104</f>
        <v>0</v>
      </c>
      <c r="I16" s="9">
        <f>'[1]Orçamento geral_2026_detalhado'!I104</f>
        <v>8536</v>
      </c>
      <c r="J16" s="9">
        <f>'[1]Orçamento geral_2026_detalhado'!J104</f>
        <v>0</v>
      </c>
      <c r="K16" s="9">
        <f>'[1]Orçamento geral_2026_detalhado'!K104</f>
        <v>0</v>
      </c>
      <c r="L16" s="9">
        <f>'[1]Orçamento geral_2026_detalhado'!L104</f>
        <v>0</v>
      </c>
      <c r="M16" s="9">
        <f>'[1]Orçamento geral_2026_detalhado'!M104</f>
        <v>0</v>
      </c>
      <c r="N16" s="9">
        <f>'[1]Orçamento geral_2026_detalhado'!N104</f>
        <v>8536</v>
      </c>
      <c r="O16" s="9">
        <f>'[1]Orçamento geral_2026_detalhado'!O104</f>
        <v>0.43228479261181879</v>
      </c>
    </row>
    <row r="17" spans="1:15" x14ac:dyDescent="0.25">
      <c r="A17" s="8" t="str">
        <f>'[1]Orçamento geral_2026_detalhado'!A113</f>
        <v>Autoria  - 3º Ano Fund 1</v>
      </c>
      <c r="B17" s="9">
        <f>'[1]Orçamento geral_2026_detalhado'!B113</f>
        <v>0</v>
      </c>
      <c r="C17" s="9">
        <f>'[1]Orçamento geral_2026_detalhado'!C113</f>
        <v>0</v>
      </c>
      <c r="D17" s="9">
        <f>'[1]Orçamento geral_2026_detalhado'!D113</f>
        <v>0</v>
      </c>
      <c r="E17" s="9">
        <f>'[1]Orçamento geral_2026_detalhado'!E113</f>
        <v>0</v>
      </c>
      <c r="F17" s="9">
        <f>'[1]Orçamento geral_2026_detalhado'!F113</f>
        <v>0</v>
      </c>
      <c r="G17" s="9">
        <f>'[1]Orçamento geral_2026_detalhado'!G113</f>
        <v>0</v>
      </c>
      <c r="H17" s="9">
        <f>'[1]Orçamento geral_2026_detalhado'!H113</f>
        <v>0</v>
      </c>
      <c r="I17" s="9">
        <f>'[1]Orçamento geral_2026_detalhado'!I113</f>
        <v>0</v>
      </c>
      <c r="J17" s="9">
        <f>'[1]Orçamento geral_2026_detalhado'!J113</f>
        <v>0</v>
      </c>
      <c r="K17" s="9">
        <f>'[1]Orçamento geral_2026_detalhado'!K113</f>
        <v>0</v>
      </c>
      <c r="L17" s="9">
        <f>'[1]Orçamento geral_2026_detalhado'!L113</f>
        <v>0</v>
      </c>
      <c r="M17" s="9">
        <f>'[1]Orçamento geral_2026_detalhado'!M113</f>
        <v>0</v>
      </c>
      <c r="N17" s="9">
        <f>'[1]Orçamento geral_2026_detalhado'!N113</f>
        <v>0</v>
      </c>
      <c r="O17" s="9">
        <f>'[1]Orçamento geral_2026_detalhado'!O113</f>
        <v>0</v>
      </c>
    </row>
    <row r="18" spans="1:15" x14ac:dyDescent="0.25">
      <c r="A18" s="8" t="str">
        <f>'[1]Orçamento geral_2026_detalhado'!A122</f>
        <v>Revisão ortográfica - 3º Ano Fund 1</v>
      </c>
      <c r="B18" s="9">
        <f>'[1]Orçamento geral_2026_detalhado'!B122</f>
        <v>0</v>
      </c>
      <c r="C18" s="9">
        <f>'[1]Orçamento geral_2026_detalhado'!C122</f>
        <v>0</v>
      </c>
      <c r="D18" s="9">
        <f>'[1]Orçamento geral_2026_detalhado'!D122</f>
        <v>0</v>
      </c>
      <c r="E18" s="9">
        <f>'[1]Orçamento geral_2026_detalhado'!E122</f>
        <v>0</v>
      </c>
      <c r="F18" s="9">
        <f>'[1]Orçamento geral_2026_detalhado'!F122</f>
        <v>0</v>
      </c>
      <c r="G18" s="9">
        <f>'[1]Orçamento geral_2026_detalhado'!G122</f>
        <v>0</v>
      </c>
      <c r="H18" s="9">
        <f>'[1]Orçamento geral_2026_detalhado'!H122</f>
        <v>0</v>
      </c>
      <c r="I18" s="9">
        <f>'[1]Orçamento geral_2026_detalhado'!I122</f>
        <v>0</v>
      </c>
      <c r="J18" s="9">
        <f>'[1]Orçamento geral_2026_detalhado'!J122</f>
        <v>5687.5392857142851</v>
      </c>
      <c r="K18" s="9">
        <f>'[1]Orçamento geral_2026_detalhado'!K122</f>
        <v>0</v>
      </c>
      <c r="L18" s="9">
        <f>'[1]Orçamento geral_2026_detalhado'!L122</f>
        <v>0</v>
      </c>
      <c r="M18" s="9">
        <f>'[1]Orçamento geral_2026_detalhado'!M122</f>
        <v>0</v>
      </c>
      <c r="N18" s="9">
        <f>'[1]Orçamento geral_2026_detalhado'!N122</f>
        <v>5687.5392857142851</v>
      </c>
      <c r="O18" s="9">
        <f>'[1]Orçamento geral_2026_detalhado'!O122</f>
        <v>0.2880314832001607</v>
      </c>
    </row>
    <row r="19" spans="1:15" x14ac:dyDescent="0.25">
      <c r="A19" s="8" t="str">
        <f>'[1]Orçamento geral_2026_detalhado'!A131</f>
        <v>Ilustração - 3º Ano Fund 1</v>
      </c>
      <c r="B19" s="9">
        <f>'[1]Orçamento geral_2026_detalhado'!B131</f>
        <v>0</v>
      </c>
      <c r="C19" s="9">
        <f>'[1]Orçamento geral_2026_detalhado'!C131</f>
        <v>0</v>
      </c>
      <c r="D19" s="9">
        <f>'[1]Orçamento geral_2026_detalhado'!D131</f>
        <v>0</v>
      </c>
      <c r="E19" s="9">
        <f>'[1]Orçamento geral_2026_detalhado'!E131</f>
        <v>0</v>
      </c>
      <c r="F19" s="9">
        <f>'[1]Orçamento geral_2026_detalhado'!F131</f>
        <v>0</v>
      </c>
      <c r="G19" s="9">
        <f>'[1]Orçamento geral_2026_detalhado'!G131</f>
        <v>0</v>
      </c>
      <c r="H19" s="9">
        <f>'[1]Orçamento geral_2026_detalhado'!H131</f>
        <v>0</v>
      </c>
      <c r="I19" s="9">
        <f>'[1]Orçamento geral_2026_detalhado'!I131</f>
        <v>0</v>
      </c>
      <c r="J19" s="9">
        <f>'[1]Orçamento geral_2026_detalhado'!J131</f>
        <v>2000</v>
      </c>
      <c r="K19" s="9">
        <f>'[1]Orçamento geral_2026_detalhado'!K131</f>
        <v>2000</v>
      </c>
      <c r="L19" s="9">
        <f>'[1]Orçamento geral_2026_detalhado'!L131</f>
        <v>2000</v>
      </c>
      <c r="M19" s="9">
        <f>'[1]Orçamento geral_2026_detalhado'!M131</f>
        <v>0</v>
      </c>
      <c r="N19" s="9">
        <f>'[1]Orçamento geral_2026_detalhado'!N131</f>
        <v>6000</v>
      </c>
      <c r="O19" s="9">
        <f>'[1]Orçamento geral_2026_detalhado'!O131</f>
        <v>0.30385529002705164</v>
      </c>
    </row>
    <row r="20" spans="1:15" x14ac:dyDescent="0.25">
      <c r="A20" s="8" t="str">
        <f>'[1]Orçamento geral_2026_detalhado'!A140</f>
        <v>Diagramação - 3º Ano Fund 1</v>
      </c>
      <c r="B20" s="9">
        <f>'[1]Orçamento geral_2026_detalhado'!B140</f>
        <v>0</v>
      </c>
      <c r="C20" s="9">
        <f>'[1]Orçamento geral_2026_detalhado'!C140</f>
        <v>0</v>
      </c>
      <c r="D20" s="9">
        <f>'[1]Orçamento geral_2026_detalhado'!D140</f>
        <v>0</v>
      </c>
      <c r="E20" s="9">
        <f>'[1]Orçamento geral_2026_detalhado'!E140</f>
        <v>0</v>
      </c>
      <c r="F20" s="9">
        <f>'[1]Orçamento geral_2026_detalhado'!F140</f>
        <v>0</v>
      </c>
      <c r="G20" s="9">
        <f>'[1]Orçamento geral_2026_detalhado'!G140</f>
        <v>0</v>
      </c>
      <c r="H20" s="9">
        <f>'[1]Orçamento geral_2026_detalhado'!H140</f>
        <v>0</v>
      </c>
      <c r="I20" s="9">
        <f>'[1]Orçamento geral_2026_detalhado'!I140</f>
        <v>0</v>
      </c>
      <c r="J20" s="9">
        <f>'[1]Orçamento geral_2026_detalhado'!J140</f>
        <v>8536</v>
      </c>
      <c r="K20" s="9">
        <f>'[1]Orçamento geral_2026_detalhado'!K140</f>
        <v>0</v>
      </c>
      <c r="L20" s="9">
        <f>'[1]Orçamento geral_2026_detalhado'!L140</f>
        <v>0</v>
      </c>
      <c r="M20" s="9">
        <f>'[1]Orçamento geral_2026_detalhado'!M140</f>
        <v>0</v>
      </c>
      <c r="N20" s="9">
        <f>'[1]Orçamento geral_2026_detalhado'!N140</f>
        <v>8536</v>
      </c>
      <c r="O20" s="9">
        <f>'[1]Orçamento geral_2026_detalhado'!O140</f>
        <v>0.43228479261181879</v>
      </c>
    </row>
    <row r="21" spans="1:15" x14ac:dyDescent="0.25">
      <c r="A21" s="8" t="str">
        <f>'[1]Orçamento geral_2026_detalhado'!A149</f>
        <v>Autoria  - 4º Ano Fund 1</v>
      </c>
      <c r="B21" s="9">
        <f>'[1]Orçamento geral_2026_detalhado'!B149</f>
        <v>0</v>
      </c>
      <c r="C21" s="9">
        <f>'[1]Orçamento geral_2026_detalhado'!C149</f>
        <v>0</v>
      </c>
      <c r="D21" s="9">
        <f>'[1]Orçamento geral_2026_detalhado'!D149</f>
        <v>0</v>
      </c>
      <c r="E21" s="9">
        <f>'[1]Orçamento geral_2026_detalhado'!E149</f>
        <v>0</v>
      </c>
      <c r="F21" s="9">
        <f>'[1]Orçamento geral_2026_detalhado'!F149</f>
        <v>0</v>
      </c>
      <c r="G21" s="9">
        <f>'[1]Orçamento geral_2026_detalhado'!G149</f>
        <v>0</v>
      </c>
      <c r="H21" s="9">
        <f>'[1]Orçamento geral_2026_detalhado'!H149</f>
        <v>0</v>
      </c>
      <c r="I21" s="9">
        <f>'[1]Orçamento geral_2026_detalhado'!I149</f>
        <v>0</v>
      </c>
      <c r="J21" s="9">
        <f>'[1]Orçamento geral_2026_detalhado'!J149</f>
        <v>0</v>
      </c>
      <c r="K21" s="9">
        <f>'[1]Orçamento geral_2026_detalhado'!K149</f>
        <v>0</v>
      </c>
      <c r="L21" s="9">
        <f>'[1]Orçamento geral_2026_detalhado'!L149</f>
        <v>0</v>
      </c>
      <c r="M21" s="9">
        <f>'[1]Orçamento geral_2026_detalhado'!M149</f>
        <v>0</v>
      </c>
      <c r="N21" s="9">
        <f>'[1]Orçamento geral_2026_detalhado'!N149</f>
        <v>0</v>
      </c>
      <c r="O21" s="9">
        <f>'[1]Orçamento geral_2026_detalhado'!O149</f>
        <v>0</v>
      </c>
    </row>
    <row r="22" spans="1:15" x14ac:dyDescent="0.25">
      <c r="A22" s="8" t="str">
        <f>'[1]Orçamento geral_2026_detalhado'!A158</f>
        <v>Revisão ortográfica - 4º Ano Fund 1</v>
      </c>
      <c r="B22" s="9">
        <f>'[1]Orçamento geral_2026_detalhado'!B158</f>
        <v>0</v>
      </c>
      <c r="C22" s="9">
        <f>'[1]Orçamento geral_2026_detalhado'!C158</f>
        <v>0</v>
      </c>
      <c r="D22" s="9">
        <f>'[1]Orçamento geral_2026_detalhado'!D158</f>
        <v>0</v>
      </c>
      <c r="E22" s="9">
        <f>'[1]Orçamento geral_2026_detalhado'!E158</f>
        <v>0</v>
      </c>
      <c r="F22" s="9">
        <f>'[1]Orçamento geral_2026_detalhado'!F158</f>
        <v>0</v>
      </c>
      <c r="G22" s="9">
        <f>'[1]Orçamento geral_2026_detalhado'!G158</f>
        <v>0</v>
      </c>
      <c r="H22" s="9">
        <f>'[1]Orçamento geral_2026_detalhado'!H158</f>
        <v>0</v>
      </c>
      <c r="I22" s="9">
        <f>'[1]Orçamento geral_2026_detalhado'!I158</f>
        <v>0</v>
      </c>
      <c r="J22" s="9">
        <f>'[1]Orçamento geral_2026_detalhado'!J158</f>
        <v>0</v>
      </c>
      <c r="K22" s="9">
        <f>'[1]Orçamento geral_2026_detalhado'!K158</f>
        <v>5687.5392857142851</v>
      </c>
      <c r="L22" s="9">
        <f>'[1]Orçamento geral_2026_detalhado'!L158</f>
        <v>0</v>
      </c>
      <c r="M22" s="9">
        <f>'[1]Orçamento geral_2026_detalhado'!M158</f>
        <v>0</v>
      </c>
      <c r="N22" s="9">
        <f>'[1]Orçamento geral_2026_detalhado'!N158</f>
        <v>5687.5392857142851</v>
      </c>
      <c r="O22" s="9">
        <f>'[1]Orçamento geral_2026_detalhado'!O158</f>
        <v>0.2880314832001607</v>
      </c>
    </row>
    <row r="23" spans="1:15" x14ac:dyDescent="0.25">
      <c r="A23" s="8" t="str">
        <f>'[1]Orçamento geral_2026_detalhado'!A167</f>
        <v>Ilustração - 4º Ano Fund 1</v>
      </c>
      <c r="B23" s="9">
        <f>'[1]Orçamento geral_2026_detalhado'!B167</f>
        <v>0</v>
      </c>
      <c r="C23" s="9">
        <f>'[1]Orçamento geral_2026_detalhado'!C167</f>
        <v>0</v>
      </c>
      <c r="D23" s="9">
        <f>'[1]Orçamento geral_2026_detalhado'!D167</f>
        <v>0</v>
      </c>
      <c r="E23" s="9">
        <f>'[1]Orçamento geral_2026_detalhado'!E167</f>
        <v>0</v>
      </c>
      <c r="F23" s="9">
        <f>'[1]Orçamento geral_2026_detalhado'!F167</f>
        <v>0</v>
      </c>
      <c r="G23" s="9">
        <f>'[1]Orçamento geral_2026_detalhado'!G167</f>
        <v>0</v>
      </c>
      <c r="H23" s="9">
        <f>'[1]Orçamento geral_2026_detalhado'!H167</f>
        <v>0</v>
      </c>
      <c r="I23" s="9">
        <f>'[1]Orçamento geral_2026_detalhado'!I167</f>
        <v>0</v>
      </c>
      <c r="J23" s="9">
        <f>'[1]Orçamento geral_2026_detalhado'!J167</f>
        <v>0</v>
      </c>
      <c r="K23" s="9">
        <f>'[1]Orçamento geral_2026_detalhado'!K167</f>
        <v>2000</v>
      </c>
      <c r="L23" s="9">
        <f>'[1]Orçamento geral_2026_detalhado'!L167</f>
        <v>2000</v>
      </c>
      <c r="M23" s="9">
        <f>'[1]Orçamento geral_2026_detalhado'!M167</f>
        <v>2000</v>
      </c>
      <c r="N23" s="9">
        <f>'[1]Orçamento geral_2026_detalhado'!N167</f>
        <v>6000</v>
      </c>
      <c r="O23" s="9">
        <f>'[1]Orçamento geral_2026_detalhado'!O167</f>
        <v>0.30385529002705164</v>
      </c>
    </row>
    <row r="24" spans="1:15" x14ac:dyDescent="0.25">
      <c r="A24" s="8" t="str">
        <f>'[1]Orçamento geral_2026_detalhado'!A176</f>
        <v>Diagramação - 4º Ano Fund 1</v>
      </c>
      <c r="B24" s="9">
        <f>'[1]Orçamento geral_2026_detalhado'!B176</f>
        <v>0</v>
      </c>
      <c r="C24" s="9">
        <f>'[1]Orçamento geral_2026_detalhado'!C176</f>
        <v>0</v>
      </c>
      <c r="D24" s="9">
        <f>'[1]Orçamento geral_2026_detalhado'!D176</f>
        <v>0</v>
      </c>
      <c r="E24" s="9">
        <f>'[1]Orçamento geral_2026_detalhado'!E176</f>
        <v>0</v>
      </c>
      <c r="F24" s="9">
        <f>'[1]Orçamento geral_2026_detalhado'!F176</f>
        <v>0</v>
      </c>
      <c r="G24" s="9">
        <f>'[1]Orçamento geral_2026_detalhado'!G176</f>
        <v>0</v>
      </c>
      <c r="H24" s="9">
        <f>'[1]Orçamento geral_2026_detalhado'!H176</f>
        <v>0</v>
      </c>
      <c r="I24" s="9">
        <f>'[1]Orçamento geral_2026_detalhado'!I176</f>
        <v>0</v>
      </c>
      <c r="J24" s="9">
        <f>'[1]Orçamento geral_2026_detalhado'!J176</f>
        <v>0</v>
      </c>
      <c r="K24" s="9">
        <f>'[1]Orçamento geral_2026_detalhado'!K176</f>
        <v>8536</v>
      </c>
      <c r="L24" s="9">
        <f>'[1]Orçamento geral_2026_detalhado'!L176</f>
        <v>0</v>
      </c>
      <c r="M24" s="9">
        <f>'[1]Orçamento geral_2026_detalhado'!M176</f>
        <v>0</v>
      </c>
      <c r="N24" s="9">
        <f>'[1]Orçamento geral_2026_detalhado'!N176</f>
        <v>8536</v>
      </c>
      <c r="O24" s="9">
        <f>'[1]Orçamento geral_2026_detalhado'!O176</f>
        <v>0.43228479261181879</v>
      </c>
    </row>
    <row r="25" spans="1:15" x14ac:dyDescent="0.25">
      <c r="A25" s="8" t="str">
        <f>'[1]Orçamento geral_2026_detalhado'!A185</f>
        <v>Autoria  - 5º Ano Fund 1</v>
      </c>
      <c r="B25" s="9">
        <f>'[1]Orçamento geral_2026_detalhado'!B185</f>
        <v>0</v>
      </c>
      <c r="C25" s="9">
        <f>'[1]Orçamento geral_2026_detalhado'!C185</f>
        <v>0</v>
      </c>
      <c r="D25" s="9">
        <f>'[1]Orçamento geral_2026_detalhado'!D185</f>
        <v>0</v>
      </c>
      <c r="E25" s="9">
        <f>'[1]Orçamento geral_2026_detalhado'!E185</f>
        <v>0</v>
      </c>
      <c r="F25" s="9">
        <f>'[1]Orçamento geral_2026_detalhado'!F185</f>
        <v>0</v>
      </c>
      <c r="G25" s="9">
        <f>'[1]Orçamento geral_2026_detalhado'!G185</f>
        <v>0</v>
      </c>
      <c r="H25" s="9">
        <f>'[1]Orçamento geral_2026_detalhado'!H185</f>
        <v>0</v>
      </c>
      <c r="I25" s="9">
        <f>'[1]Orçamento geral_2026_detalhado'!I185</f>
        <v>0</v>
      </c>
      <c r="J25" s="9">
        <f>'[1]Orçamento geral_2026_detalhado'!J185</f>
        <v>0</v>
      </c>
      <c r="K25" s="9">
        <f>'[1]Orçamento geral_2026_detalhado'!K185</f>
        <v>0</v>
      </c>
      <c r="L25" s="9">
        <f>'[1]Orçamento geral_2026_detalhado'!L185</f>
        <v>0</v>
      </c>
      <c r="M25" s="9">
        <f>'[1]Orçamento geral_2026_detalhado'!M185</f>
        <v>0</v>
      </c>
      <c r="N25" s="9">
        <f>'[1]Orçamento geral_2026_detalhado'!N185</f>
        <v>0</v>
      </c>
      <c r="O25" s="9">
        <f>'[1]Orçamento geral_2026_detalhado'!O185</f>
        <v>0</v>
      </c>
    </row>
    <row r="26" spans="1:15" x14ac:dyDescent="0.25">
      <c r="A26" s="8" t="str">
        <f>'[1]Orçamento geral_2026_detalhado'!A194</f>
        <v>Revisão ortográfica - 5º Ano Fund 1</v>
      </c>
      <c r="B26" s="9">
        <f>'[1]Orçamento geral_2026_detalhado'!B194</f>
        <v>0</v>
      </c>
      <c r="C26" s="9">
        <f>'[1]Orçamento geral_2026_detalhado'!C194</f>
        <v>0</v>
      </c>
      <c r="D26" s="9">
        <f>'[1]Orçamento geral_2026_detalhado'!D194</f>
        <v>0</v>
      </c>
      <c r="E26" s="9">
        <f>'[1]Orçamento geral_2026_detalhado'!E194</f>
        <v>0</v>
      </c>
      <c r="F26" s="9">
        <f>'[1]Orçamento geral_2026_detalhado'!F194</f>
        <v>0</v>
      </c>
      <c r="G26" s="9">
        <f>'[1]Orçamento geral_2026_detalhado'!G194</f>
        <v>0</v>
      </c>
      <c r="H26" s="9">
        <f>'[1]Orçamento geral_2026_detalhado'!H194</f>
        <v>0</v>
      </c>
      <c r="I26" s="9">
        <f>'[1]Orçamento geral_2026_detalhado'!I194</f>
        <v>0</v>
      </c>
      <c r="J26" s="9">
        <f>'[1]Orçamento geral_2026_detalhado'!J194</f>
        <v>0</v>
      </c>
      <c r="K26" s="9">
        <f>'[1]Orçamento geral_2026_detalhado'!K194</f>
        <v>0</v>
      </c>
      <c r="L26" s="9">
        <f>'[1]Orçamento geral_2026_detalhado'!L194</f>
        <v>5687.5392857142851</v>
      </c>
      <c r="M26" s="9">
        <f>'[1]Orçamento geral_2026_detalhado'!M194</f>
        <v>0</v>
      </c>
      <c r="N26" s="9">
        <f>'[1]Orçamento geral_2026_detalhado'!N194</f>
        <v>5687.5392857142851</v>
      </c>
      <c r="O26" s="9">
        <f>'[1]Orçamento geral_2026_detalhado'!O194</f>
        <v>0.2880314832001607</v>
      </c>
    </row>
    <row r="27" spans="1:15" x14ac:dyDescent="0.25">
      <c r="A27" s="8" t="str">
        <f>'[1]Orçamento geral_2026_detalhado'!A203</f>
        <v>Ilustração - 5º Ano Fund 1</v>
      </c>
      <c r="B27" s="9">
        <f>'[1]Orçamento geral_2026_detalhado'!B203</f>
        <v>0</v>
      </c>
      <c r="C27" s="9">
        <f>'[1]Orçamento geral_2026_detalhado'!C203</f>
        <v>0</v>
      </c>
      <c r="D27" s="9">
        <f>'[1]Orçamento geral_2026_detalhado'!D203</f>
        <v>0</v>
      </c>
      <c r="E27" s="9">
        <f>'[1]Orçamento geral_2026_detalhado'!E203</f>
        <v>0</v>
      </c>
      <c r="F27" s="9">
        <f>'[1]Orçamento geral_2026_detalhado'!F203</f>
        <v>0</v>
      </c>
      <c r="G27" s="9">
        <f>'[1]Orçamento geral_2026_detalhado'!G203</f>
        <v>0</v>
      </c>
      <c r="H27" s="9">
        <f>'[1]Orçamento geral_2026_detalhado'!H203</f>
        <v>0</v>
      </c>
      <c r="I27" s="9">
        <f>'[1]Orçamento geral_2026_detalhado'!I203</f>
        <v>0</v>
      </c>
      <c r="J27" s="9">
        <f>'[1]Orçamento geral_2026_detalhado'!J203</f>
        <v>0</v>
      </c>
      <c r="K27" s="9">
        <f>'[1]Orçamento geral_2026_detalhado'!K203</f>
        <v>2000</v>
      </c>
      <c r="L27" s="9">
        <f>'[1]Orçamento geral_2026_detalhado'!L203</f>
        <v>2000</v>
      </c>
      <c r="M27" s="9">
        <f>'[1]Orçamento geral_2026_detalhado'!M203</f>
        <v>2000</v>
      </c>
      <c r="N27" s="9">
        <f>'[1]Orçamento geral_2026_detalhado'!N203</f>
        <v>6000</v>
      </c>
      <c r="O27" s="9">
        <f>'[1]Orçamento geral_2026_detalhado'!O203</f>
        <v>0.30385529002705164</v>
      </c>
    </row>
    <row r="28" spans="1:15" x14ac:dyDescent="0.25">
      <c r="A28" s="8" t="str">
        <f>'[1]Orçamento geral_2026_detalhado'!A212</f>
        <v>Diagramação - 5º Ano Fund 1</v>
      </c>
      <c r="B28" s="9">
        <f>'[1]Orçamento geral_2026_detalhado'!B212</f>
        <v>0</v>
      </c>
      <c r="C28" s="9">
        <f>'[1]Orçamento geral_2026_detalhado'!C212</f>
        <v>0</v>
      </c>
      <c r="D28" s="9">
        <f>'[1]Orçamento geral_2026_detalhado'!D212</f>
        <v>0</v>
      </c>
      <c r="E28" s="9">
        <f>'[1]Orçamento geral_2026_detalhado'!E212</f>
        <v>0</v>
      </c>
      <c r="F28" s="9">
        <f>'[1]Orçamento geral_2026_detalhado'!F212</f>
        <v>0</v>
      </c>
      <c r="G28" s="9">
        <f>'[1]Orçamento geral_2026_detalhado'!G212</f>
        <v>0</v>
      </c>
      <c r="H28" s="9">
        <f>'[1]Orçamento geral_2026_detalhado'!H212</f>
        <v>0</v>
      </c>
      <c r="I28" s="9">
        <f>'[1]Orçamento geral_2026_detalhado'!I212</f>
        <v>0</v>
      </c>
      <c r="J28" s="9">
        <f>'[1]Orçamento geral_2026_detalhado'!J212</f>
        <v>0</v>
      </c>
      <c r="K28" s="9">
        <f>'[1]Orçamento geral_2026_detalhado'!K212</f>
        <v>0</v>
      </c>
      <c r="L28" s="9">
        <f>'[1]Orçamento geral_2026_detalhado'!L212</f>
        <v>8536</v>
      </c>
      <c r="M28" s="9">
        <f>'[1]Orçamento geral_2026_detalhado'!M212</f>
        <v>0</v>
      </c>
      <c r="N28" s="9">
        <f>'[1]Orçamento geral_2026_detalhado'!N212</f>
        <v>8536</v>
      </c>
      <c r="O28" s="9">
        <f>'[1]Orçamento geral_2026_detalhado'!O212</f>
        <v>0.43228479261181879</v>
      </c>
    </row>
    <row r="29" spans="1:15" ht="26.25" x14ac:dyDescent="0.25">
      <c r="A29" s="8" t="str">
        <f>'[1]Orçamento geral_2026_detalhado'!A221</f>
        <v>Assessoria editorial para padronização e fechamento de arquivos do Fund 1</v>
      </c>
      <c r="B29" s="9">
        <f>'[1]Orçamento geral_2026_detalhado'!B221</f>
        <v>2000</v>
      </c>
      <c r="C29" s="9">
        <f>'[1]Orçamento geral_2026_detalhado'!C221</f>
        <v>0</v>
      </c>
      <c r="D29" s="9">
        <f>'[1]Orçamento geral_2026_detalhado'!D221</f>
        <v>0</v>
      </c>
      <c r="E29" s="9">
        <f>'[1]Orçamento geral_2026_detalhado'!E221</f>
        <v>0</v>
      </c>
      <c r="F29" s="9">
        <f>'[1]Orçamento geral_2026_detalhado'!F221</f>
        <v>2000</v>
      </c>
      <c r="G29" s="9">
        <f>'[1]Orçamento geral_2026_detalhado'!G221</f>
        <v>0</v>
      </c>
      <c r="H29" s="9">
        <f>'[1]Orçamento geral_2026_detalhado'!H221</f>
        <v>0</v>
      </c>
      <c r="I29" s="9">
        <f>'[1]Orçamento geral_2026_detalhado'!I221</f>
        <v>2000</v>
      </c>
      <c r="J29" s="9">
        <f>'[1]Orçamento geral_2026_detalhado'!J221</f>
        <v>0</v>
      </c>
      <c r="K29" s="9">
        <f>'[1]Orçamento geral_2026_detalhado'!K221</f>
        <v>0</v>
      </c>
      <c r="L29" s="9">
        <f>'[1]Orçamento geral_2026_detalhado'!L221</f>
        <v>2000</v>
      </c>
      <c r="M29" s="9">
        <f>'[1]Orçamento geral_2026_detalhado'!M221</f>
        <v>2000</v>
      </c>
      <c r="N29" s="9">
        <f>'[1]Orçamento geral_2026_detalhado'!N221</f>
        <v>10000</v>
      </c>
      <c r="O29" s="9">
        <f>'[1]Orçamento geral_2026_detalhado'!O221</f>
        <v>0.50642548337841942</v>
      </c>
    </row>
    <row r="30" spans="1:15" x14ac:dyDescent="0.25">
      <c r="A30" s="12" t="str">
        <f>'[1]Orçamento geral_2026_detalhado'!A230</f>
        <v>BIBLOS</v>
      </c>
      <c r="B30" s="13">
        <f>'[1]Orçamento geral_2026_detalhado'!B230</f>
        <v>0</v>
      </c>
      <c r="C30" s="13">
        <f>'[1]Orçamento geral_2026_detalhado'!C230</f>
        <v>0</v>
      </c>
      <c r="D30" s="13">
        <f>'[1]Orçamento geral_2026_detalhado'!D230</f>
        <v>0</v>
      </c>
      <c r="E30" s="13">
        <f>'[1]Orçamento geral_2026_detalhado'!E230</f>
        <v>0</v>
      </c>
      <c r="F30" s="13">
        <f>'[1]Orçamento geral_2026_detalhado'!F230</f>
        <v>0</v>
      </c>
      <c r="G30" s="13">
        <f>'[1]Orçamento geral_2026_detalhado'!G230</f>
        <v>6600</v>
      </c>
      <c r="H30" s="13">
        <f>'[1]Orçamento geral_2026_detalhado'!H230</f>
        <v>0</v>
      </c>
      <c r="I30" s="13">
        <f>'[1]Orçamento geral_2026_detalhado'!I230</f>
        <v>0</v>
      </c>
      <c r="J30" s="13">
        <f>'[1]Orçamento geral_2026_detalhado'!J230</f>
        <v>0</v>
      </c>
      <c r="K30" s="13">
        <f>'[1]Orçamento geral_2026_detalhado'!K230</f>
        <v>0</v>
      </c>
      <c r="L30" s="13">
        <f>'[1]Orçamento geral_2026_detalhado'!L230</f>
        <v>0</v>
      </c>
      <c r="M30" s="13">
        <f>'[1]Orçamento geral_2026_detalhado'!M230</f>
        <v>6600</v>
      </c>
      <c r="N30" s="13">
        <f>'[1]Orçamento geral_2026_detalhado'!N230</f>
        <v>13200</v>
      </c>
      <c r="O30" s="13">
        <f>'[1]Orçamento geral_2026_detalhado'!O230</f>
        <v>0.66848163805951355</v>
      </c>
    </row>
    <row r="31" spans="1:15" x14ac:dyDescent="0.25">
      <c r="A31" s="12" t="str">
        <f>'[1]Orçamento geral_2026_detalhado'!A238</f>
        <v>OIKOS</v>
      </c>
      <c r="B31" s="13">
        <f>'[1]Orçamento geral_2026_detalhado'!B238</f>
        <v>0</v>
      </c>
      <c r="C31" s="13">
        <f>'[1]Orçamento geral_2026_detalhado'!C238</f>
        <v>3232.98</v>
      </c>
      <c r="D31" s="13">
        <f>'[1]Orçamento geral_2026_detalhado'!D238</f>
        <v>3232.98</v>
      </c>
      <c r="E31" s="13">
        <f>'[1]Orçamento geral_2026_detalhado'!E238</f>
        <v>0</v>
      </c>
      <c r="F31" s="13">
        <f>'[1]Orçamento geral_2026_detalhado'!F238</f>
        <v>0</v>
      </c>
      <c r="G31" s="13">
        <f>'[1]Orçamento geral_2026_detalhado'!G238</f>
        <v>0</v>
      </c>
      <c r="H31" s="13">
        <f>'[1]Orçamento geral_2026_detalhado'!H238</f>
        <v>0</v>
      </c>
      <c r="I31" s="13">
        <f>'[1]Orçamento geral_2026_detalhado'!I238</f>
        <v>0</v>
      </c>
      <c r="J31" s="13">
        <f>'[1]Orçamento geral_2026_detalhado'!J238</f>
        <v>0</v>
      </c>
      <c r="K31" s="13">
        <f>'[1]Orçamento geral_2026_detalhado'!K238</f>
        <v>0</v>
      </c>
      <c r="L31" s="13">
        <f>'[1]Orçamento geral_2026_detalhado'!L238</f>
        <v>0</v>
      </c>
      <c r="M31" s="13">
        <f>'[1]Orçamento geral_2026_detalhado'!M238</f>
        <v>0</v>
      </c>
      <c r="N31" s="13">
        <f>'[1]Orçamento geral_2026_detalhado'!N238</f>
        <v>6465.96</v>
      </c>
      <c r="O31" s="13">
        <f>'[1]Orçamento geral_2026_detalhado'!O238</f>
        <v>0.32745269185055248</v>
      </c>
    </row>
    <row r="32" spans="1:15" x14ac:dyDescent="0.25">
      <c r="A32" s="14" t="str">
        <f>'[1]Orçamento geral_2026_detalhado'!A244</f>
        <v>PRODUÇÃO AUDIOVISUAL</v>
      </c>
      <c r="B32" s="15">
        <f>'[1]Orçamento geral_2026_detalhado'!B244</f>
        <v>500</v>
      </c>
      <c r="C32" s="15">
        <f>'[1]Orçamento geral_2026_detalhado'!C244</f>
        <v>1718.1818181818182</v>
      </c>
      <c r="D32" s="15">
        <f>'[1]Orçamento geral_2026_detalhado'!D244</f>
        <v>1718.1818181818182</v>
      </c>
      <c r="E32" s="15">
        <f>'[1]Orçamento geral_2026_detalhado'!E244</f>
        <v>1718.1818181818182</v>
      </c>
      <c r="F32" s="15">
        <f>'[1]Orçamento geral_2026_detalhado'!F244</f>
        <v>1718.1818181818182</v>
      </c>
      <c r="G32" s="15">
        <f>'[1]Orçamento geral_2026_detalhado'!G244</f>
        <v>1718.1818181818182</v>
      </c>
      <c r="H32" s="15">
        <f>'[1]Orçamento geral_2026_detalhado'!H244</f>
        <v>1718.1818181818182</v>
      </c>
      <c r="I32" s="15">
        <f>'[1]Orçamento geral_2026_detalhado'!I244</f>
        <v>1718.1818181818182</v>
      </c>
      <c r="J32" s="15">
        <f>'[1]Orçamento geral_2026_detalhado'!J244</f>
        <v>1718.1818181818182</v>
      </c>
      <c r="K32" s="15">
        <f>'[1]Orçamento geral_2026_detalhado'!K244</f>
        <v>1718.1818181818182</v>
      </c>
      <c r="L32" s="15">
        <f>'[1]Orçamento geral_2026_detalhado'!L244</f>
        <v>1718.1818181818182</v>
      </c>
      <c r="M32" s="15">
        <f>'[1]Orçamento geral_2026_detalhado'!M244</f>
        <v>1718.1818181818182</v>
      </c>
      <c r="N32" s="15">
        <f>'[1]Orçamento geral_2026_detalhado'!N244</f>
        <v>19400</v>
      </c>
      <c r="O32" s="15">
        <f>'[1]Orçamento geral_2026_detalhado'!O244</f>
        <v>0.98246543775413375</v>
      </c>
    </row>
    <row r="33" spans="1:15" x14ac:dyDescent="0.25">
      <c r="A33" s="14" t="str">
        <f>'[1]Orçamento geral_2026_detalhado'!A253</f>
        <v>PRODUÇÃO GRÁFICA / IMPRESSÃO</v>
      </c>
      <c r="B33" s="15">
        <f>'[1]Orçamento geral_2026_detalhado'!B253</f>
        <v>0</v>
      </c>
      <c r="C33" s="15">
        <f>'[1]Orçamento geral_2026_detalhado'!C253</f>
        <v>66737.22</v>
      </c>
      <c r="D33" s="15">
        <f>'[1]Orçamento geral_2026_detalhado'!D253</f>
        <v>80738.94</v>
      </c>
      <c r="E33" s="15">
        <f>'[1]Orçamento geral_2026_detalhado'!E253</f>
        <v>80738.94</v>
      </c>
      <c r="F33" s="15">
        <f>'[1]Orçamento geral_2026_detalhado'!F253</f>
        <v>80738.94</v>
      </c>
      <c r="G33" s="15">
        <f>'[1]Orçamento geral_2026_detalhado'!G253</f>
        <v>106351.58</v>
      </c>
      <c r="H33" s="15">
        <f>'[1]Orçamento geral_2026_detalhado'!H253</f>
        <v>106351.58</v>
      </c>
      <c r="I33" s="15">
        <f>'[1]Orçamento geral_2026_detalhado'!I253</f>
        <v>46087.259999999995</v>
      </c>
      <c r="J33" s="15">
        <f>'[1]Orçamento geral_2026_detalhado'!J253</f>
        <v>25612.639999999999</v>
      </c>
      <c r="K33" s="15">
        <f>'[1]Orçamento geral_2026_detalhado'!K253</f>
        <v>25612.639999999999</v>
      </c>
      <c r="L33" s="15">
        <f>'[1]Orçamento geral_2026_detalhado'!L253</f>
        <v>25612.639999999999</v>
      </c>
      <c r="M33" s="15">
        <f>'[1]Orçamento geral_2026_detalhado'!M253</f>
        <v>0</v>
      </c>
      <c r="N33" s="15">
        <f>'[1]Orçamento geral_2026_detalhado'!N253</f>
        <v>644582.38</v>
      </c>
      <c r="O33" s="15">
        <f>'[1]Orçamento geral_2026_detalhado'!O253</f>
        <v>32.6432943368712</v>
      </c>
    </row>
    <row r="34" spans="1:15" x14ac:dyDescent="0.25">
      <c r="A34" s="14" t="str">
        <f>'[1]Orçamento geral_2026_detalhado'!A264</f>
        <v>TECNOLOGIA</v>
      </c>
      <c r="B34" s="15">
        <f>'[1]Orçamento geral_2026_detalhado'!B264</f>
        <v>8406.9</v>
      </c>
      <c r="C34" s="15">
        <f>'[1]Orçamento geral_2026_detalhado'!C264</f>
        <v>3411.9</v>
      </c>
      <c r="D34" s="15">
        <f>'[1]Orçamento geral_2026_detalhado'!D264</f>
        <v>3811.9</v>
      </c>
      <c r="E34" s="15">
        <f>'[1]Orçamento geral_2026_detalhado'!E264</f>
        <v>3811.9</v>
      </c>
      <c r="F34" s="15">
        <f>'[1]Orçamento geral_2026_detalhado'!F264</f>
        <v>5711.9</v>
      </c>
      <c r="G34" s="15">
        <f>'[1]Orçamento geral_2026_detalhado'!G264</f>
        <v>6711.9</v>
      </c>
      <c r="H34" s="15">
        <f>'[1]Orçamento geral_2026_detalhado'!H264</f>
        <v>4811.8999999999996</v>
      </c>
      <c r="I34" s="15">
        <f>'[1]Orçamento geral_2026_detalhado'!I264</f>
        <v>4811.8999999999996</v>
      </c>
      <c r="J34" s="15">
        <f>'[1]Orçamento geral_2026_detalhado'!J264</f>
        <v>3811.9</v>
      </c>
      <c r="K34" s="15">
        <f>'[1]Orçamento geral_2026_detalhado'!K264</f>
        <v>3811.9</v>
      </c>
      <c r="L34" s="15">
        <f>'[1]Orçamento geral_2026_detalhado'!L264</f>
        <v>3811.9</v>
      </c>
      <c r="M34" s="15">
        <f>'[1]Orçamento geral_2026_detalhado'!M264</f>
        <v>3811.9</v>
      </c>
      <c r="N34" s="15">
        <f>'[1]Orçamento geral_2026_detalhado'!N264</f>
        <v>56737.799999999996</v>
      </c>
      <c r="O34" s="15">
        <f>'[1]Orçamento geral_2026_detalhado'!O264</f>
        <v>2.8733467790828082</v>
      </c>
    </row>
    <row r="35" spans="1:15" x14ac:dyDescent="0.25">
      <c r="A35" s="14" t="str">
        <f>'[1]Orçamento geral_2026_detalhado'!A276</f>
        <v>MARKETING &amp; PUBLICIDADE</v>
      </c>
      <c r="B35" s="15">
        <f>'[1]Orçamento geral_2026_detalhado'!B276</f>
        <v>5433.3333333333339</v>
      </c>
      <c r="C35" s="15">
        <f>'[1]Orçamento geral_2026_detalhado'!C276</f>
        <v>5513.3333333333339</v>
      </c>
      <c r="D35" s="15">
        <f>'[1]Orçamento geral_2026_detalhado'!D276</f>
        <v>4100</v>
      </c>
      <c r="E35" s="15">
        <f>'[1]Orçamento geral_2026_detalhado'!E276</f>
        <v>14100</v>
      </c>
      <c r="F35" s="15">
        <f>'[1]Orçamento geral_2026_detalhado'!F276</f>
        <v>14100</v>
      </c>
      <c r="G35" s="15">
        <f>'[1]Orçamento geral_2026_detalhado'!G276</f>
        <v>14100</v>
      </c>
      <c r="H35" s="15">
        <f>'[1]Orçamento geral_2026_detalhado'!H276</f>
        <v>16600</v>
      </c>
      <c r="I35" s="15">
        <f>'[1]Orçamento geral_2026_detalhado'!I276</f>
        <v>16600</v>
      </c>
      <c r="J35" s="15">
        <f>'[1]Orçamento geral_2026_detalhado'!J276</f>
        <v>16600</v>
      </c>
      <c r="K35" s="15">
        <f>'[1]Orçamento geral_2026_detalhado'!K276</f>
        <v>16600</v>
      </c>
      <c r="L35" s="15">
        <f>'[1]Orçamento geral_2026_detalhado'!L276</f>
        <v>6600.0000000000009</v>
      </c>
      <c r="M35" s="15">
        <f>'[1]Orçamento geral_2026_detalhado'!M276</f>
        <v>6600.0000000000009</v>
      </c>
      <c r="N35" s="15">
        <f>'[1]Orçamento geral_2026_detalhado'!N276</f>
        <v>136946.66666666669</v>
      </c>
      <c r="O35" s="15">
        <f>'[1]Orçamento geral_2026_detalhado'!O276</f>
        <v>6.9353281863729954</v>
      </c>
    </row>
    <row r="36" spans="1:15" x14ac:dyDescent="0.25">
      <c r="A36" s="14" t="str">
        <f>'[1]Orçamento geral_2026_detalhado'!A293</f>
        <v>COMERCIAL &amp; RELACIONAMENTO</v>
      </c>
      <c r="B36" s="15">
        <f>'[1]Orçamento geral_2026_detalhado'!B293</f>
        <v>4567.1499999999996</v>
      </c>
      <c r="C36" s="15">
        <f>'[1]Orçamento geral_2026_detalhado'!C293</f>
        <v>6650.4833333333336</v>
      </c>
      <c r="D36" s="15">
        <f>'[1]Orçamento geral_2026_detalhado'!D293</f>
        <v>6650.4833333333336</v>
      </c>
      <c r="E36" s="15">
        <f>'[1]Orçamento geral_2026_detalhado'!E293</f>
        <v>6650.4833333333336</v>
      </c>
      <c r="F36" s="15">
        <f>'[1]Orçamento geral_2026_detalhado'!F293</f>
        <v>5544.7633333333333</v>
      </c>
      <c r="G36" s="15">
        <f>'[1]Orçamento geral_2026_detalhado'!G293</f>
        <v>5544.7633333333333</v>
      </c>
      <c r="H36" s="15">
        <f>'[1]Orçamento geral_2026_detalhado'!H293</f>
        <v>7563.0966666666664</v>
      </c>
      <c r="I36" s="15">
        <f>'[1]Orçamento geral_2026_detalhado'!I293</f>
        <v>5479.7633333333342</v>
      </c>
      <c r="J36" s="15">
        <f>'[1]Orçamento geral_2026_detalhado'!J293</f>
        <v>5479.7633333333342</v>
      </c>
      <c r="K36" s="15">
        <f>'[1]Orçamento geral_2026_detalhado'!K293</f>
        <v>5479.7633333333342</v>
      </c>
      <c r="L36" s="15">
        <f>'[1]Orçamento geral_2026_detalhado'!L293</f>
        <v>4880.2833333333338</v>
      </c>
      <c r="M36" s="15">
        <f>'[1]Orçamento geral_2026_detalhado'!M293</f>
        <v>4880.2833333333338</v>
      </c>
      <c r="N36" s="15">
        <f>'[1]Orçamento geral_2026_detalhado'!N293</f>
        <v>69371.08</v>
      </c>
      <c r="O36" s="15">
        <f>'[1]Orçamento geral_2026_detalhado'!O293</f>
        <v>3.5131282721483004</v>
      </c>
    </row>
    <row r="37" spans="1:15" x14ac:dyDescent="0.25">
      <c r="A37" s="14" t="str">
        <f>'[1]Orçamento geral_2026_detalhado'!A300</f>
        <v>LOGÍSTICA &amp; DISTRIBUIÇÃO</v>
      </c>
      <c r="B37" s="15">
        <f>'[1]Orçamento geral_2026_detalhado'!B300</f>
        <v>11866.666666666668</v>
      </c>
      <c r="C37" s="15">
        <f>'[1]Orçamento geral_2026_detalhado'!C300</f>
        <v>4666.666666666667</v>
      </c>
      <c r="D37" s="15">
        <f>'[1]Orçamento geral_2026_detalhado'!D300</f>
        <v>4916.666666666667</v>
      </c>
      <c r="E37" s="15">
        <f>'[1]Orçamento geral_2026_detalhado'!E300</f>
        <v>4916.666666666667</v>
      </c>
      <c r="F37" s="15">
        <f>'[1]Orçamento geral_2026_detalhado'!F300</f>
        <v>4916.666666666667</v>
      </c>
      <c r="G37" s="15">
        <f>'[1]Orçamento geral_2026_detalhado'!G300</f>
        <v>4916.666666666667</v>
      </c>
      <c r="H37" s="15">
        <f>'[1]Orçamento geral_2026_detalhado'!H300</f>
        <v>4916.666666666667</v>
      </c>
      <c r="I37" s="15">
        <f>'[1]Orçamento geral_2026_detalhado'!I300</f>
        <v>750</v>
      </c>
      <c r="J37" s="15">
        <f>'[1]Orçamento geral_2026_detalhado'!J300</f>
        <v>750</v>
      </c>
      <c r="K37" s="15">
        <f>'[1]Orçamento geral_2026_detalhado'!K300</f>
        <v>750</v>
      </c>
      <c r="L37" s="15">
        <f>'[1]Orçamento geral_2026_detalhado'!L300</f>
        <v>750</v>
      </c>
      <c r="M37" s="15">
        <f>'[1]Orçamento geral_2026_detalhado'!M300</f>
        <v>1550</v>
      </c>
      <c r="N37" s="15">
        <f>'[1]Orçamento geral_2026_detalhado'!N300</f>
        <v>45666.666666666672</v>
      </c>
      <c r="O37" s="15">
        <f>'[1]Orçamento geral_2026_detalhado'!O300</f>
        <v>2.312676374094782</v>
      </c>
    </row>
    <row r="38" spans="1:15" x14ac:dyDescent="0.25">
      <c r="A38" s="14" t="str">
        <f>'[1]Orçamento geral_2026_detalhado'!A306</f>
        <v>TAXAS &amp; SERVIÇOS FINANCEIROS</v>
      </c>
      <c r="B38" s="15">
        <f>'[1]Orçamento geral_2026_detalhado'!B306</f>
        <v>5292.2746666666671</v>
      </c>
      <c r="C38" s="15">
        <f>'[1]Orçamento geral_2026_detalhado'!C306</f>
        <v>5292.2746666666671</v>
      </c>
      <c r="D38" s="15">
        <f>'[1]Orçamento geral_2026_detalhado'!D306</f>
        <v>5292.2746666666671</v>
      </c>
      <c r="E38" s="15">
        <f>'[1]Orçamento geral_2026_detalhado'!E306</f>
        <v>5292.2746666666671</v>
      </c>
      <c r="F38" s="15">
        <f>'[1]Orçamento geral_2026_detalhado'!F306</f>
        <v>4029.2746666666667</v>
      </c>
      <c r="G38" s="15">
        <f>'[1]Orçamento geral_2026_detalhado'!G306</f>
        <v>3806.2466666666674</v>
      </c>
      <c r="H38" s="15">
        <f>'[1]Orçamento geral_2026_detalhado'!H306</f>
        <v>3706.2466666666674</v>
      </c>
      <c r="I38" s="15">
        <f>'[1]Orçamento geral_2026_detalhado'!I306</f>
        <v>3706.2466666666674</v>
      </c>
      <c r="J38" s="15">
        <f>'[1]Orçamento geral_2026_detalhado'!J306</f>
        <v>3318.2466666666669</v>
      </c>
      <c r="K38" s="15">
        <f>'[1]Orçamento geral_2026_detalhado'!K306</f>
        <v>3318.2466666666669</v>
      </c>
      <c r="L38" s="15">
        <f>'[1]Orçamento geral_2026_detalhado'!L306</f>
        <v>2668.2466666666669</v>
      </c>
      <c r="M38" s="15">
        <f>'[1]Orçamento geral_2026_detalhado'!M306</f>
        <v>2668.2466666666669</v>
      </c>
      <c r="N38" s="15">
        <f>'[1]Orçamento geral_2026_detalhado'!N306</f>
        <v>48390.1</v>
      </c>
      <c r="O38" s="15">
        <f>'[1]Orçamento geral_2026_detalhado'!O306</f>
        <v>2.450597978323005</v>
      </c>
    </row>
    <row r="39" spans="1:15" ht="26.25" x14ac:dyDescent="0.25">
      <c r="A39" s="14" t="str">
        <f>'[1]Orçamento geral_2026_detalhado'!A314</f>
        <v>REGULATÓRIOS, PROPRIEDADE INTELECTUAL &amp; TAXAS LEGAIS</v>
      </c>
      <c r="B39" s="15">
        <f>'[1]Orçamento geral_2026_detalhado'!B314</f>
        <v>1605.2666666666667</v>
      </c>
      <c r="C39" s="15">
        <f>'[1]Orçamento geral_2026_detalhado'!C314</f>
        <v>166.66666666666666</v>
      </c>
      <c r="D39" s="15">
        <f>'[1]Orçamento geral_2026_detalhado'!D314</f>
        <v>1666.6666666666667</v>
      </c>
      <c r="E39" s="15">
        <f>'[1]Orçamento geral_2026_detalhado'!E314</f>
        <v>1666.6666666666667</v>
      </c>
      <c r="F39" s="15">
        <f>'[1]Orçamento geral_2026_detalhado'!F314</f>
        <v>166.66666666666666</v>
      </c>
      <c r="G39" s="15">
        <f>'[1]Orçamento geral_2026_detalhado'!G314</f>
        <v>166.66666666666666</v>
      </c>
      <c r="H39" s="15">
        <f>'[1]Orçamento geral_2026_detalhado'!H314</f>
        <v>354.26666666666665</v>
      </c>
      <c r="I39" s="15">
        <f>'[1]Orçamento geral_2026_detalhado'!I314</f>
        <v>1886.6666666666667</v>
      </c>
      <c r="J39" s="15">
        <f>'[1]Orçamento geral_2026_detalhado'!J314</f>
        <v>1886.6666666666667</v>
      </c>
      <c r="K39" s="15">
        <f>'[1]Orçamento geral_2026_detalhado'!K314</f>
        <v>1886.6666666666667</v>
      </c>
      <c r="L39" s="15">
        <f>'[1]Orçamento geral_2026_detalhado'!L314</f>
        <v>166.66666666666666</v>
      </c>
      <c r="M39" s="15">
        <f>'[1]Orçamento geral_2026_detalhado'!M314</f>
        <v>354.26666666666665</v>
      </c>
      <c r="N39" s="15">
        <f>'[1]Orçamento geral_2026_detalhado'!N314</f>
        <v>11973.800000000001</v>
      </c>
      <c r="O39" s="15">
        <f>'[1]Orçamento geral_2026_detalhado'!O314</f>
        <v>0.60638374528765193</v>
      </c>
    </row>
    <row r="40" spans="1:15" ht="26.25" x14ac:dyDescent="0.25">
      <c r="A40" s="8" t="str">
        <f>'[1]Orçamento geral_2026_detalhado'!A315</f>
        <v>ISBN – registro e catalogação dos livros - 1º Ano Fund 1</v>
      </c>
      <c r="B40" s="9">
        <f>'[1]Orçamento geral_2026_detalhado'!B315</f>
        <v>1605.2666666666667</v>
      </c>
      <c r="C40" s="9">
        <f>'[1]Orçamento geral_2026_detalhado'!C315</f>
        <v>166.66666666666666</v>
      </c>
      <c r="D40" s="9">
        <f>'[1]Orçamento geral_2026_detalhado'!D315</f>
        <v>1666.6666666666667</v>
      </c>
      <c r="E40" s="9">
        <f>'[1]Orçamento geral_2026_detalhado'!E315</f>
        <v>1666.6666666666667</v>
      </c>
      <c r="F40" s="9">
        <f>'[1]Orçamento geral_2026_detalhado'!F315</f>
        <v>166.66666666666666</v>
      </c>
      <c r="G40" s="9">
        <f>'[1]Orçamento geral_2026_detalhado'!G315</f>
        <v>166.66666666666666</v>
      </c>
      <c r="H40" s="9">
        <f>'[1]Orçamento geral_2026_detalhado'!H315</f>
        <v>354.26666666666665</v>
      </c>
      <c r="I40" s="9">
        <f>'[1]Orçamento geral_2026_detalhado'!I315</f>
        <v>1886.6666666666667</v>
      </c>
      <c r="J40" s="9">
        <f>'[1]Orçamento geral_2026_detalhado'!J315</f>
        <v>1886.6666666666667</v>
      </c>
      <c r="K40" s="9">
        <f>'[1]Orçamento geral_2026_detalhado'!K315</f>
        <v>2101.6666666666665</v>
      </c>
      <c r="L40" s="9">
        <f>'[1]Orçamento geral_2026_detalhado'!L315</f>
        <v>1886.6666666666667</v>
      </c>
      <c r="M40" s="9">
        <f>'[1]Orçamento geral_2026_detalhado'!M315</f>
        <v>354.26666666666665</v>
      </c>
      <c r="N40" s="9">
        <f>'[1]Orçamento geral_2026_detalhado'!N315</f>
        <v>13908.800000000001</v>
      </c>
      <c r="O40" s="9">
        <f>'[1]Orçamento geral_2026_detalhado'!O315</f>
        <v>0.70437707632137614</v>
      </c>
    </row>
    <row r="41" spans="1:15" ht="26.25" x14ac:dyDescent="0.25">
      <c r="A41" s="8" t="str">
        <f>'[1]Orçamento geral_2026_detalhado'!A324</f>
        <v>ISBN – registro e catalogação dos livros - 2º Ano Fund 1</v>
      </c>
      <c r="B41" s="9">
        <f>'[1]Orçamento geral_2026_detalhado'!B324</f>
        <v>0</v>
      </c>
      <c r="C41" s="9">
        <f>'[1]Orçamento geral_2026_detalhado'!C324</f>
        <v>0</v>
      </c>
      <c r="D41" s="9">
        <f>'[1]Orçamento geral_2026_detalhado'!D324</f>
        <v>0</v>
      </c>
      <c r="E41" s="9">
        <f>'[1]Orçamento geral_2026_detalhado'!E324</f>
        <v>0</v>
      </c>
      <c r="F41" s="9">
        <f>'[1]Orçamento geral_2026_detalhado'!F324</f>
        <v>0</v>
      </c>
      <c r="G41" s="9">
        <f>'[1]Orçamento geral_2026_detalhado'!G324</f>
        <v>0</v>
      </c>
      <c r="H41" s="9">
        <f>'[1]Orçamento geral_2026_detalhado'!H324</f>
        <v>0</v>
      </c>
      <c r="I41" s="9">
        <f>'[1]Orçamento geral_2026_detalhado'!I324</f>
        <v>1720</v>
      </c>
      <c r="J41" s="9">
        <f>'[1]Orçamento geral_2026_detalhado'!J324</f>
        <v>0</v>
      </c>
      <c r="K41" s="9">
        <f>'[1]Orçamento geral_2026_detalhado'!K324</f>
        <v>0</v>
      </c>
      <c r="L41" s="9">
        <f>'[1]Orçamento geral_2026_detalhado'!L324</f>
        <v>0</v>
      </c>
      <c r="M41" s="9">
        <f>'[1]Orçamento geral_2026_detalhado'!M324</f>
        <v>0</v>
      </c>
      <c r="N41" s="9">
        <f>'[1]Orçamento geral_2026_detalhado'!N324</f>
        <v>1720</v>
      </c>
      <c r="O41" s="9">
        <f>'[1]Orçamento geral_2026_detalhado'!O324</f>
        <v>8.7105183141088144E-2</v>
      </c>
    </row>
    <row r="42" spans="1:15" ht="26.25" x14ac:dyDescent="0.25">
      <c r="A42" s="8" t="str">
        <f>'[1]Orçamento geral_2026_detalhado'!A333</f>
        <v>ISBN – registro e catalogação dos livros - 3º Ano Fund 1</v>
      </c>
      <c r="B42" s="9">
        <f>'[1]Orçamento geral_2026_detalhado'!B333</f>
        <v>0</v>
      </c>
      <c r="C42" s="9">
        <f>'[1]Orçamento geral_2026_detalhado'!C333</f>
        <v>0</v>
      </c>
      <c r="D42" s="9">
        <f>'[1]Orçamento geral_2026_detalhado'!D333</f>
        <v>0</v>
      </c>
      <c r="E42" s="9">
        <f>'[1]Orçamento geral_2026_detalhado'!E333</f>
        <v>0</v>
      </c>
      <c r="F42" s="9">
        <f>'[1]Orçamento geral_2026_detalhado'!F333</f>
        <v>0</v>
      </c>
      <c r="G42" s="9">
        <f>'[1]Orçamento geral_2026_detalhado'!G333</f>
        <v>0</v>
      </c>
      <c r="H42" s="9">
        <f>'[1]Orçamento geral_2026_detalhado'!H333</f>
        <v>0</v>
      </c>
      <c r="I42" s="9">
        <f>'[1]Orçamento geral_2026_detalhado'!I333</f>
        <v>0</v>
      </c>
      <c r="J42" s="9">
        <f>'[1]Orçamento geral_2026_detalhado'!J333</f>
        <v>1720</v>
      </c>
      <c r="K42" s="9">
        <f>'[1]Orçamento geral_2026_detalhado'!K333</f>
        <v>0</v>
      </c>
      <c r="L42" s="9">
        <f>'[1]Orçamento geral_2026_detalhado'!L333</f>
        <v>0</v>
      </c>
      <c r="M42" s="9">
        <f>'[1]Orçamento geral_2026_detalhado'!M333</f>
        <v>0</v>
      </c>
      <c r="N42" s="9">
        <f>'[1]Orçamento geral_2026_detalhado'!N333</f>
        <v>1720</v>
      </c>
      <c r="O42" s="9">
        <f>'[1]Orçamento geral_2026_detalhado'!O333</f>
        <v>8.7105183141088144E-2</v>
      </c>
    </row>
    <row r="43" spans="1:15" ht="26.25" x14ac:dyDescent="0.25">
      <c r="A43" s="8" t="str">
        <f>'[1]Orçamento geral_2026_detalhado'!A342</f>
        <v>ISBN – registro e catalogação dos livros - 4º Ano Fund 1</v>
      </c>
      <c r="B43" s="9">
        <f>'[1]Orçamento geral_2026_detalhado'!B342</f>
        <v>0</v>
      </c>
      <c r="C43" s="9">
        <f>'[1]Orçamento geral_2026_detalhado'!C342</f>
        <v>0</v>
      </c>
      <c r="D43" s="9">
        <f>'[1]Orçamento geral_2026_detalhado'!D342</f>
        <v>0</v>
      </c>
      <c r="E43" s="9">
        <f>'[1]Orçamento geral_2026_detalhado'!E342</f>
        <v>0</v>
      </c>
      <c r="F43" s="9">
        <f>'[1]Orçamento geral_2026_detalhado'!F342</f>
        <v>0</v>
      </c>
      <c r="G43" s="9">
        <f>'[1]Orçamento geral_2026_detalhado'!G342</f>
        <v>0</v>
      </c>
      <c r="H43" s="9">
        <f>'[1]Orçamento geral_2026_detalhado'!H342</f>
        <v>0</v>
      </c>
      <c r="I43" s="9">
        <f>'[1]Orçamento geral_2026_detalhado'!I342</f>
        <v>0</v>
      </c>
      <c r="J43" s="9">
        <f>'[1]Orçamento geral_2026_detalhado'!J342</f>
        <v>0</v>
      </c>
      <c r="K43" s="9">
        <f>'[1]Orçamento geral_2026_detalhado'!K342</f>
        <v>1720</v>
      </c>
      <c r="L43" s="9">
        <f>'[1]Orçamento geral_2026_detalhado'!L342</f>
        <v>0</v>
      </c>
      <c r="M43" s="9">
        <f>'[1]Orçamento geral_2026_detalhado'!M342</f>
        <v>0</v>
      </c>
      <c r="N43" s="9">
        <f>'[1]Orçamento geral_2026_detalhado'!N342</f>
        <v>1720</v>
      </c>
      <c r="O43" s="9">
        <f>'[1]Orçamento geral_2026_detalhado'!O342</f>
        <v>8.7105183141088144E-2</v>
      </c>
    </row>
    <row r="44" spans="1:15" ht="26.25" x14ac:dyDescent="0.25">
      <c r="A44" s="8" t="str">
        <f>'[1]Orçamento geral_2026_detalhado'!A351</f>
        <v>ISBN – registro e catalogação dos livros - 5º Ano Fund 1</v>
      </c>
      <c r="B44" s="9">
        <f>'[1]Orçamento geral_2026_detalhado'!B351</f>
        <v>0</v>
      </c>
      <c r="C44" s="9">
        <f>'[1]Orçamento geral_2026_detalhado'!C351</f>
        <v>0</v>
      </c>
      <c r="D44" s="9">
        <f>'[1]Orçamento geral_2026_detalhado'!D351</f>
        <v>0</v>
      </c>
      <c r="E44" s="9">
        <f>'[1]Orçamento geral_2026_detalhado'!E351</f>
        <v>0</v>
      </c>
      <c r="F44" s="9">
        <f>'[1]Orçamento geral_2026_detalhado'!F351</f>
        <v>0</v>
      </c>
      <c r="G44" s="9">
        <f>'[1]Orçamento geral_2026_detalhado'!G351</f>
        <v>0</v>
      </c>
      <c r="H44" s="9">
        <f>'[1]Orçamento geral_2026_detalhado'!H351</f>
        <v>0</v>
      </c>
      <c r="I44" s="9">
        <f>'[1]Orçamento geral_2026_detalhado'!I351</f>
        <v>0</v>
      </c>
      <c r="J44" s="9">
        <f>'[1]Orçamento geral_2026_detalhado'!J351</f>
        <v>0</v>
      </c>
      <c r="K44" s="9">
        <f>'[1]Orçamento geral_2026_detalhado'!K351</f>
        <v>215</v>
      </c>
      <c r="L44" s="9">
        <f>'[1]Orçamento geral_2026_detalhado'!L351</f>
        <v>1720</v>
      </c>
      <c r="M44" s="9">
        <f>'[1]Orçamento geral_2026_detalhado'!M351</f>
        <v>0</v>
      </c>
      <c r="N44" s="9">
        <f>'[1]Orçamento geral_2026_detalhado'!N351</f>
        <v>1935</v>
      </c>
      <c r="O44" s="9">
        <f>'[1]Orçamento geral_2026_detalhado'!O351</f>
        <v>9.7993331033724151E-2</v>
      </c>
    </row>
    <row r="45" spans="1:15" x14ac:dyDescent="0.25">
      <c r="A45" s="8" t="str">
        <f>'[1]Orçamento geral_2026_detalhado'!A360</f>
        <v xml:space="preserve">ISBN – registro e catalogação dos livros </v>
      </c>
      <c r="B45" s="9">
        <f>'[1]Orçamento geral_2026_detalhado'!B360</f>
        <v>0</v>
      </c>
      <c r="C45" s="9">
        <f>'[1]Orçamento geral_2026_detalhado'!C360</f>
        <v>0</v>
      </c>
      <c r="D45" s="9">
        <f>'[1]Orçamento geral_2026_detalhado'!D360</f>
        <v>0</v>
      </c>
      <c r="E45" s="9">
        <f>'[1]Orçamento geral_2026_detalhado'!E360</f>
        <v>0</v>
      </c>
      <c r="F45" s="9">
        <f>'[1]Orçamento geral_2026_detalhado'!F360</f>
        <v>0</v>
      </c>
      <c r="G45" s="9">
        <f>'[1]Orçamento geral_2026_detalhado'!G360</f>
        <v>0</v>
      </c>
      <c r="H45" s="9">
        <f>'[1]Orçamento geral_2026_detalhado'!H360</f>
        <v>187.60000000000002</v>
      </c>
      <c r="I45" s="9">
        <f>'[1]Orçamento geral_2026_detalhado'!I360</f>
        <v>0</v>
      </c>
      <c r="J45" s="9">
        <f>'[1]Orçamento geral_2026_detalhado'!J360</f>
        <v>0</v>
      </c>
      <c r="K45" s="9">
        <f>'[1]Orçamento geral_2026_detalhado'!K360</f>
        <v>0</v>
      </c>
      <c r="L45" s="9">
        <f>'[1]Orçamento geral_2026_detalhado'!L360</f>
        <v>0</v>
      </c>
      <c r="M45" s="9">
        <f>'[1]Orçamento geral_2026_detalhado'!M360</f>
        <v>187.60000000000002</v>
      </c>
      <c r="N45" s="9">
        <f>'[1]Orçamento geral_2026_detalhado'!N360</f>
        <v>375.20000000000005</v>
      </c>
      <c r="O45" s="9">
        <f>'[1]Orçamento geral_2026_detalhado'!O360</f>
        <v>1.9001084136358298E-2</v>
      </c>
    </row>
    <row r="46" spans="1:15" x14ac:dyDescent="0.25">
      <c r="A46" s="8" t="str">
        <f>'[1]Orçamento geral_2026_detalhado'!A362</f>
        <v>Registro de marcas</v>
      </c>
      <c r="B46" s="9">
        <f>'[1]Orçamento geral_2026_detalhado'!B362</f>
        <v>166.66666666666666</v>
      </c>
      <c r="C46" s="9">
        <f>'[1]Orçamento geral_2026_detalhado'!C362</f>
        <v>166.66666666666666</v>
      </c>
      <c r="D46" s="9">
        <f>'[1]Orçamento geral_2026_detalhado'!D362</f>
        <v>1666.6666666666667</v>
      </c>
      <c r="E46" s="9">
        <f>'[1]Orçamento geral_2026_detalhado'!E362</f>
        <v>1666.6666666666667</v>
      </c>
      <c r="F46" s="9">
        <f>'[1]Orçamento geral_2026_detalhado'!F362</f>
        <v>166.66666666666666</v>
      </c>
      <c r="G46" s="9">
        <f>'[1]Orçamento geral_2026_detalhado'!G362</f>
        <v>166.66666666666666</v>
      </c>
      <c r="H46" s="9">
        <f>'[1]Orçamento geral_2026_detalhado'!H362</f>
        <v>166.66666666666666</v>
      </c>
      <c r="I46" s="9">
        <f>'[1]Orçamento geral_2026_detalhado'!I362</f>
        <v>166.66666666666666</v>
      </c>
      <c r="J46" s="9">
        <f>'[1]Orçamento geral_2026_detalhado'!J362</f>
        <v>166.66666666666666</v>
      </c>
      <c r="K46" s="9">
        <f>'[1]Orçamento geral_2026_detalhado'!K362</f>
        <v>166.66666666666666</v>
      </c>
      <c r="L46" s="9">
        <f>'[1]Orçamento geral_2026_detalhado'!L362</f>
        <v>166.66666666666666</v>
      </c>
      <c r="M46" s="9">
        <f>'[1]Orçamento geral_2026_detalhado'!M362</f>
        <v>166.66666666666666</v>
      </c>
      <c r="N46" s="9">
        <f>'[1]Orçamento geral_2026_detalhado'!N362</f>
        <v>5000</v>
      </c>
      <c r="O46" s="9">
        <f>'[1]Orçamento geral_2026_detalhado'!O362</f>
        <v>0.25321274168920971</v>
      </c>
    </row>
    <row r="47" spans="1:15" x14ac:dyDescent="0.25">
      <c r="A47" s="14" t="str">
        <f>'[1]Orçamento geral_2026_detalhado'!A368</f>
        <v>VIAGENS &amp; REPRESENTAÇÃO</v>
      </c>
      <c r="B47" s="15">
        <f>'[1]Orçamento geral_2026_detalhado'!B368</f>
        <v>0</v>
      </c>
      <c r="C47" s="15">
        <f>'[1]Orçamento geral_2026_detalhado'!C368</f>
        <v>0</v>
      </c>
      <c r="D47" s="15">
        <f>'[1]Orçamento geral_2026_detalhado'!D368</f>
        <v>0</v>
      </c>
      <c r="E47" s="15">
        <f>'[1]Orçamento geral_2026_detalhado'!E368</f>
        <v>333.33333333333331</v>
      </c>
      <c r="F47" s="15">
        <f>'[1]Orçamento geral_2026_detalhado'!F368</f>
        <v>333.33333333333331</v>
      </c>
      <c r="G47" s="15">
        <f>'[1]Orçamento geral_2026_detalhado'!G368</f>
        <v>1183.3333333333335</v>
      </c>
      <c r="H47" s="15">
        <f>'[1]Orçamento geral_2026_detalhado'!H368</f>
        <v>1683.3333333333333</v>
      </c>
      <c r="I47" s="15">
        <f>'[1]Orçamento geral_2026_detalhado'!I368</f>
        <v>1683.3333333333333</v>
      </c>
      <c r="J47" s="15">
        <f>'[1]Orçamento geral_2026_detalhado'!J368</f>
        <v>1683.3333333333333</v>
      </c>
      <c r="K47" s="15">
        <f>'[1]Orçamento geral_2026_detalhado'!K368</f>
        <v>1683.3333333333333</v>
      </c>
      <c r="L47" s="15">
        <f>'[1]Orçamento geral_2026_detalhado'!L368</f>
        <v>1683.3333333333333</v>
      </c>
      <c r="M47" s="15">
        <f>'[1]Orçamento geral_2026_detalhado'!M368</f>
        <v>1683.3333333333333</v>
      </c>
      <c r="N47" s="15">
        <f>'[1]Orçamento geral_2026_detalhado'!N368</f>
        <v>11950</v>
      </c>
      <c r="O47" s="15">
        <f>'[1]Orçamento geral_2026_detalhado'!O368</f>
        <v>0.60517845263721115</v>
      </c>
    </row>
    <row r="48" spans="1:15" x14ac:dyDescent="0.25">
      <c r="A48" s="14" t="str">
        <f>'[1]Orçamento geral_2026_detalhado'!A374</f>
        <v>INFRAESTRUTURA &amp; UTILIDADES</v>
      </c>
      <c r="B48" s="15">
        <f>'[1]Orçamento geral_2026_detalhado'!B374</f>
        <v>0</v>
      </c>
      <c r="C48" s="15">
        <f>'[1]Orçamento geral_2026_detalhado'!C374</f>
        <v>0</v>
      </c>
      <c r="D48" s="15">
        <f>'[1]Orçamento geral_2026_detalhado'!D374</f>
        <v>0</v>
      </c>
      <c r="E48" s="15">
        <f>'[1]Orçamento geral_2026_detalhado'!E374</f>
        <v>0</v>
      </c>
      <c r="F48" s="15">
        <f>'[1]Orçamento geral_2026_detalhado'!F374</f>
        <v>0</v>
      </c>
      <c r="G48" s="15">
        <f>'[1]Orçamento geral_2026_detalhado'!G374</f>
        <v>0</v>
      </c>
      <c r="H48" s="15">
        <f>'[1]Orçamento geral_2026_detalhado'!H374</f>
        <v>0</v>
      </c>
      <c r="I48" s="15">
        <f>'[1]Orçamento geral_2026_detalhado'!I374</f>
        <v>0</v>
      </c>
      <c r="J48" s="15">
        <f>'[1]Orçamento geral_2026_detalhado'!J374</f>
        <v>0</v>
      </c>
      <c r="K48" s="15">
        <f>'[1]Orçamento geral_2026_detalhado'!K374</f>
        <v>0</v>
      </c>
      <c r="L48" s="15">
        <f>'[1]Orçamento geral_2026_detalhado'!L374</f>
        <v>0</v>
      </c>
      <c r="M48" s="15">
        <f>'[1]Orçamento geral_2026_detalhado'!M374</f>
        <v>0</v>
      </c>
      <c r="N48" s="15">
        <f>'[1]Orçamento geral_2026_detalhado'!N374</f>
        <v>0</v>
      </c>
      <c r="O48" s="15">
        <f>'[1]Orçamento geral_2026_detalhado'!O374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Assis</dc:creator>
  <cp:lastModifiedBy>renato Assis</cp:lastModifiedBy>
  <dcterms:created xsi:type="dcterms:W3CDTF">2026-02-13T11:53:35Z</dcterms:created>
  <dcterms:modified xsi:type="dcterms:W3CDTF">2026-02-13T11:54:11Z</dcterms:modified>
</cp:coreProperties>
</file>