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8_{5FDBF690-49DE-4068-A8BF-EB74BCE58E66}" xr6:coauthVersionLast="47" xr6:coauthVersionMax="47" xr10:uidLastSave="{00000000-0000-0000-0000-000000000000}"/>
  <bookViews>
    <workbookView xWindow="-24120" yWindow="-2040" windowWidth="24240" windowHeight="13020" xr2:uid="{96F9A59C-E9F6-4E86-AA31-30AD2EBB8FC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J12" i="1"/>
  <c r="I12" i="1"/>
  <c r="H12" i="1"/>
  <c r="G12" i="1"/>
  <c r="F12" i="1"/>
  <c r="E12" i="1"/>
  <c r="D12" i="1"/>
  <c r="C12" i="1"/>
  <c r="B12" i="1"/>
  <c r="N12" i="1" s="1"/>
  <c r="M8" i="1"/>
  <c r="L8" i="1"/>
  <c r="K8" i="1"/>
  <c r="J8" i="1"/>
  <c r="J2" i="1" s="1"/>
  <c r="J15" i="1" s="1"/>
  <c r="I8" i="1"/>
  <c r="H8" i="1"/>
  <c r="N8" i="1" s="1"/>
  <c r="M7" i="1"/>
  <c r="L7" i="1"/>
  <c r="K7" i="1"/>
  <c r="J7" i="1"/>
  <c r="I7" i="1"/>
  <c r="I2" i="1" s="1"/>
  <c r="I15" i="1" s="1"/>
  <c r="H7" i="1"/>
  <c r="G7" i="1"/>
  <c r="F7" i="1"/>
  <c r="E7" i="1"/>
  <c r="D7" i="1"/>
  <c r="C7" i="1"/>
  <c r="N7" i="1" s="1"/>
  <c r="N6" i="1"/>
  <c r="N5" i="1"/>
  <c r="N4" i="1"/>
  <c r="M3" i="1"/>
  <c r="L3" i="1"/>
  <c r="L2" i="1" s="1"/>
  <c r="L15" i="1" s="1"/>
  <c r="K3" i="1"/>
  <c r="J3" i="1"/>
  <c r="I3" i="1"/>
  <c r="H3" i="1"/>
  <c r="H2" i="1" s="1"/>
  <c r="H15" i="1" s="1"/>
  <c r="G3" i="1"/>
  <c r="G2" i="1" s="1"/>
  <c r="G15" i="1" s="1"/>
  <c r="F3" i="1"/>
  <c r="F2" i="1" s="1"/>
  <c r="F15" i="1" s="1"/>
  <c r="E3" i="1"/>
  <c r="D3" i="1"/>
  <c r="N3" i="1" s="1"/>
  <c r="C3" i="1"/>
  <c r="B3" i="1"/>
  <c r="M2" i="1"/>
  <c r="M15" i="1" s="1"/>
  <c r="K2" i="1"/>
  <c r="K15" i="1" s="1"/>
  <c r="E2" i="1"/>
  <c r="E15" i="1" s="1"/>
  <c r="C2" i="1"/>
  <c r="C15" i="1" s="1"/>
  <c r="B2" i="1"/>
  <c r="B15" i="1" s="1"/>
  <c r="N2" i="1" l="1"/>
  <c r="N15" i="1" s="1"/>
  <c r="D2" i="1"/>
  <c r="D15" i="1" s="1"/>
</calcChain>
</file>

<file path=xl/sharedStrings.xml><?xml version="1.0" encoding="utf-8"?>
<sst xmlns="http://schemas.openxmlformats.org/spreadsheetml/2006/main" count="48" uniqueCount="23">
  <si>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</si>
  <si>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</si>
  <si>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</si>
  <si>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</si>
  <si>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</si>
  <si>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</si>
  <si>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</si>
  <si>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</si>
  <si>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</si>
  <si>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</si>
  <si>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</si>
  <si>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</si>
  <si>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</si>
  <si>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RECEITAS</t>
  </si>
  <si>
    <t>PAIDEIA</t>
  </si>
  <si>
    <t>Receita de venda do PAIDEIA (ESKOLARE)</t>
  </si>
  <si>
    <t>Receita de venda do PAIDEIA fixo (Boletos)</t>
  </si>
  <si>
    <t>Receita de venda do PAIDEIA complementar</t>
  </si>
  <si>
    <t xml:space="preserve">Receita de vendas do OIKOS 2026 </t>
  </si>
  <si>
    <t>Receita de vendas do BIBLOS 2026 (500 Biblos no segundo semestre)</t>
  </si>
  <si>
    <t>DESPESAS</t>
  </si>
  <si>
    <t>RESULTADO OPERACIONAL</t>
  </si>
  <si>
    <t>Res.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</si>
</sst>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5" tint="-0.249977111117893"/>
        <bgColor rgb="FFFF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theme="4" tint="-0.249977111117893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rgb="FFFFFFFF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4" fontId="1" fillId="0" borderId="2" xfId="0" applyNumberFormat="1" applyFont="1" applyBorder="1" applyAlignment="1">
      <alignment horizontal="center" vertical="center" wrapText="1"/>
    </xf>
    <xf numFmtId="4" fontId="3" fillId="4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3" fillId="4" borderId="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4" fontId="1" fillId="0" borderId="6" xfId="0" applyNumberFormat="1" applyFont="1" applyBorder="1" applyAlignment="1">
      <alignment wrapText="1"/>
    </xf>
    <xf numFmtId="4" fontId="4" fillId="0" borderId="7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4" fontId="1" fillId="0" borderId="8" xfId="0" applyNumberFormat="1" applyFont="1" applyBorder="1" applyAlignment="1">
      <alignment wrapText="1"/>
    </xf>
    <xf numFmtId="4" fontId="4" fillId="0" borderId="8" xfId="0" applyNumberFormat="1" applyFont="1" applyBorder="1" applyAlignment="1">
      <alignment wrapText="1"/>
    </xf>
    <xf numFmtId="0" fontId="2" fillId="5" borderId="9" xfId="0" applyFont="1" applyFill="1" applyBorder="1" applyAlignment="1">
      <alignment wrapText="1"/>
    </xf>
    <xf numFmtId="4" fontId="5" fillId="5" borderId="10" xfId="0" applyNumberFormat="1" applyFont="1" applyFill="1" applyBorder="1" applyAlignment="1">
      <alignment horizontal="center" wrapText="1"/>
    </xf>
    <xf numFmtId="4" fontId="3" fillId="6" borderId="10" xfId="0" applyNumberFormat="1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4" fontId="1" fillId="0" borderId="10" xfId="0" applyNumberFormat="1" applyFont="1" applyBorder="1" applyAlignment="1">
      <alignment horizontal="center" wrapText="1"/>
    </xf>
    <xf numFmtId="4" fontId="3" fillId="7" borderId="10" xfId="0" applyNumberFormat="1" applyFont="1" applyFill="1" applyBorder="1" applyAlignment="1">
      <alignment horizontal="center" wrapText="1"/>
    </xf>
    <xf numFmtId="4" fontId="1" fillId="0" borderId="8" xfId="0" applyNumberFormat="1" applyFont="1" applyBorder="1" applyAlignment="1">
      <alignment horizontal="center" wrapText="1"/>
    </xf>
    <xf numFmtId="4" fontId="4" fillId="0" borderId="8" xfId="0" applyNumberFormat="1" applyFont="1" applyBorder="1" applyAlignment="1">
      <alignment horizontal="center" wrapText="1"/>
    </xf>
    <xf numFmtId="0" fontId="2" fillId="8" borderId="9" xfId="0" applyFont="1" applyFill="1" applyBorder="1" applyAlignment="1">
      <alignment wrapText="1"/>
    </xf>
    <xf numFmtId="4" fontId="5" fillId="8" borderId="10" xfId="0" applyNumberFormat="1" applyFont="1" applyFill="1" applyBorder="1" applyAlignment="1">
      <alignment horizontal="center" wrapText="1"/>
    </xf>
    <xf numFmtId="4" fontId="3" fillId="9" borderId="10" xfId="0" applyNumberFormat="1" applyFont="1" applyFill="1" applyBorder="1" applyAlignment="1">
      <alignment horizontal="center" wrapText="1"/>
    </xf>
    <xf numFmtId="4" fontId="1" fillId="10" borderId="10" xfId="0" applyNumberFormat="1" applyFont="1" applyFill="1" applyBorder="1" applyAlignment="1">
      <alignment horizontal="center" wrapText="1"/>
    </xf>
    <xf numFmtId="4" fontId="3" fillId="11" borderId="1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ato\Desktop\Or&#231;amento_2026_Premissas_Completas.xlsx" TargetMode="External"/><Relationship Id="rId1" Type="http://schemas.openxmlformats.org/officeDocument/2006/relationships/externalLinkPath" Target="Or&#231;amento_2026_Premissas_Compl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geral_2026_detalhado"/>
      <sheetName val="Prev_desp_resumo"/>
      <sheetName val="Fluxo_operacional"/>
      <sheetName val="Receitas_paideia_2026"/>
      <sheetName val="previsão_fluxomensal"/>
      <sheetName val="premissas_despesas"/>
      <sheetName val="premissas_receitas"/>
      <sheetName val="prod_fund1"/>
      <sheetName val="Boletos Escolas 2026"/>
      <sheetName val="Pedido Extra - Estoque"/>
      <sheetName val="Cortesias"/>
      <sheetName val="Folha"/>
      <sheetName val="Orçamento_grafica"/>
      <sheetName val="Folha 2"/>
      <sheetName val="Folha 3"/>
    </sheetNames>
    <sheetDataSet>
      <sheetData sheetId="0">
        <row r="2">
          <cell r="B2">
            <v>82466.717333333349</v>
          </cell>
          <cell r="C2">
            <v>202956.06448484847</v>
          </cell>
          <cell r="D2">
            <v>204123.35181818181</v>
          </cell>
          <cell r="E2">
            <v>206223.70515151511</v>
          </cell>
          <cell r="F2">
            <v>177140.58515151512</v>
          </cell>
          <cell r="G2">
            <v>208980.19715151514</v>
          </cell>
          <cell r="H2">
            <v>204466.13048484849</v>
          </cell>
          <cell r="I2">
            <v>175138.26108008658</v>
          </cell>
          <cell r="J2">
            <v>153275.64108008656</v>
          </cell>
          <cell r="K2">
            <v>140694.79643722941</v>
          </cell>
          <cell r="L2">
            <v>127563.64977056278</v>
          </cell>
          <cell r="M2">
            <v>91595.070484848489</v>
          </cell>
        </row>
      </sheetData>
      <sheetData sheetId="1"/>
      <sheetData sheetId="2"/>
      <sheetData sheetId="3"/>
      <sheetData sheetId="4">
        <row r="27">
          <cell r="F27">
            <v>222947.06666666668</v>
          </cell>
          <cell r="G27">
            <v>222947.06666666668</v>
          </cell>
          <cell r="H27">
            <v>222947.06666666668</v>
          </cell>
          <cell r="I27">
            <v>222947.06666666668</v>
          </cell>
          <cell r="J27">
            <v>159797.06666666665</v>
          </cell>
          <cell r="K27">
            <v>148645.66666666669</v>
          </cell>
          <cell r="L27">
            <v>143645.66666666669</v>
          </cell>
          <cell r="M27">
            <v>143645.66666666669</v>
          </cell>
          <cell r="N27">
            <v>124245.66666666667</v>
          </cell>
          <cell r="O27">
            <v>124245.66666666667</v>
          </cell>
          <cell r="P27">
            <v>91745.666666666672</v>
          </cell>
          <cell r="Q27">
            <v>91745.666666666672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5C24-2EEE-412D-B9B0-4B7B9A84D7D7}">
  <dimension ref="A1:N15"/>
  <sheetViews>
    <sheetView tabSelected="1" workbookViewId="0">
      <selection activeCell="J17" sqref="J17"/>
    </sheetView>
  </sheetViews>
  <sheetFormatPr defaultRowHeight="15" x14ac:dyDescent="0.25"/>
  <cols>
    <col min="1" max="1" width="52.7109375" customWidth="1"/>
    <col min="2" max="13" width="11.28515625" bestFit="1" customWidth="1"/>
    <col min="14" max="14" width="13.140625" bestFit="1" customWidth="1"/>
  </cols>
  <sheetData>
    <row r="1" spans="1:14" ht="1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4" ht="15.75" thickBot="1" x14ac:dyDescent="0.3">
      <c r="A2" s="4" t="s">
        <v>13</v>
      </c>
      <c r="B2" s="5">
        <f t="shared" ref="B2:N2" si="0">SUM(B3:B8)</f>
        <v>230787.39666666667</v>
      </c>
      <c r="C2" s="5">
        <f t="shared" si="0"/>
        <v>229705.76666666669</v>
      </c>
      <c r="D2" s="5">
        <f t="shared" si="0"/>
        <v>227712.86666666667</v>
      </c>
      <c r="E2" s="5">
        <f t="shared" si="0"/>
        <v>227593.85666666669</v>
      </c>
      <c r="F2" s="5">
        <f t="shared" si="0"/>
        <v>164166.19666666666</v>
      </c>
      <c r="G2" s="5">
        <f t="shared" si="0"/>
        <v>153732.47666666668</v>
      </c>
      <c r="H2" s="5">
        <f t="shared" si="0"/>
        <v>152073.66666666669</v>
      </c>
      <c r="I2" s="5">
        <f t="shared" si="0"/>
        <v>151776.66666666669</v>
      </c>
      <c r="J2" s="5">
        <f t="shared" si="0"/>
        <v>132019.66666666669</v>
      </c>
      <c r="K2" s="5">
        <f t="shared" si="0"/>
        <v>130233.66666666667</v>
      </c>
      <c r="L2" s="5">
        <f t="shared" si="0"/>
        <v>96552.506666666668</v>
      </c>
      <c r="M2" s="5">
        <f t="shared" si="0"/>
        <v>101540.66666666667</v>
      </c>
      <c r="N2" s="6">
        <f t="shared" si="0"/>
        <v>1997895.4000000006</v>
      </c>
    </row>
    <row r="3" spans="1:14" ht="15.75" thickBot="1" x14ac:dyDescent="0.3">
      <c r="A3" s="7" t="s">
        <v>14</v>
      </c>
      <c r="B3" s="8">
        <f>[1]previsão_fluxomensal!F27</f>
        <v>222947.06666666668</v>
      </c>
      <c r="C3" s="8">
        <f>[1]previsão_fluxomensal!G27</f>
        <v>222947.06666666668</v>
      </c>
      <c r="D3" s="8">
        <f>[1]previsão_fluxomensal!H27</f>
        <v>222947.06666666668</v>
      </c>
      <c r="E3" s="8">
        <f>[1]previsão_fluxomensal!I27</f>
        <v>222947.06666666668</v>
      </c>
      <c r="F3" s="8">
        <f>[1]previsão_fluxomensal!J27</f>
        <v>159797.06666666665</v>
      </c>
      <c r="G3" s="8">
        <f>[1]previsão_fluxomensal!K27</f>
        <v>148645.66666666669</v>
      </c>
      <c r="H3" s="8">
        <f>[1]previsão_fluxomensal!L27</f>
        <v>143645.66666666669</v>
      </c>
      <c r="I3" s="8">
        <f>[1]previsão_fluxomensal!M27</f>
        <v>143645.66666666669</v>
      </c>
      <c r="J3" s="8">
        <f>[1]previsão_fluxomensal!N27</f>
        <v>124245.66666666667</v>
      </c>
      <c r="K3" s="8">
        <f>[1]previsão_fluxomensal!O27</f>
        <v>124245.66666666667</v>
      </c>
      <c r="L3" s="8">
        <f>[1]previsão_fluxomensal!P27</f>
        <v>91745.666666666672</v>
      </c>
      <c r="M3" s="8">
        <f>[1]previsão_fluxomensal!Q27</f>
        <v>91745.666666666672</v>
      </c>
      <c r="N3" s="9">
        <f t="shared" ref="N3:N8" si="1">SUM(B3:M3)</f>
        <v>1919505.0000000007</v>
      </c>
    </row>
    <row r="4" spans="1:14" ht="15.75" thickBot="1" x14ac:dyDescent="0.3">
      <c r="A4" s="10" t="s">
        <v>15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1"/>
        <v>0</v>
      </c>
    </row>
    <row r="5" spans="1:14" ht="15.75" thickBot="1" x14ac:dyDescent="0.3">
      <c r="A5" s="10" t="s">
        <v>16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1"/>
        <v>0</v>
      </c>
    </row>
    <row r="6" spans="1:14" ht="15.75" thickBot="1" x14ac:dyDescent="0.3">
      <c r="A6" s="10" t="s">
        <v>17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>
        <f t="shared" si="1"/>
        <v>0</v>
      </c>
    </row>
    <row r="7" spans="1:14" ht="15.75" thickBot="1" x14ac:dyDescent="0.3">
      <c r="A7" s="13" t="s">
        <v>18</v>
      </c>
      <c r="B7" s="11">
        <v>7840.33</v>
      </c>
      <c r="C7" s="14">
        <f>6163.7+(119*5)</f>
        <v>6758.7</v>
      </c>
      <c r="D7" s="14">
        <f>4170.8+(119*5)</f>
        <v>4765.8</v>
      </c>
      <c r="E7" s="15">
        <f>4051.79+(119*5)</f>
        <v>4646.79</v>
      </c>
      <c r="F7" s="11">
        <f>3774.13+(119*5)</f>
        <v>4369.13</v>
      </c>
      <c r="G7" s="11">
        <f>4491.81+(119*5)</f>
        <v>5086.8100000000004</v>
      </c>
      <c r="H7" s="11">
        <f>4033+(119*5)</f>
        <v>4628</v>
      </c>
      <c r="I7" s="11">
        <f>3736+(119*5)</f>
        <v>4331</v>
      </c>
      <c r="J7" s="11">
        <f>3379+(119*5)</f>
        <v>3974</v>
      </c>
      <c r="K7" s="11">
        <f>1593+(119*5)</f>
        <v>2188</v>
      </c>
      <c r="L7" s="11">
        <f>411.84+(119*5)</f>
        <v>1006.8399999999999</v>
      </c>
      <c r="M7" s="11">
        <f>(1199/10)*50</f>
        <v>5995</v>
      </c>
      <c r="N7" s="12">
        <f t="shared" si="1"/>
        <v>55590.399999999994</v>
      </c>
    </row>
    <row r="8" spans="1:14" ht="29.25" thickBot="1" x14ac:dyDescent="0.3">
      <c r="A8" s="10" t="s">
        <v>19</v>
      </c>
      <c r="B8" s="11"/>
      <c r="C8" s="11"/>
      <c r="D8" s="11"/>
      <c r="E8" s="11"/>
      <c r="F8" s="11"/>
      <c r="G8" s="11"/>
      <c r="H8" s="11">
        <f t="shared" ref="H8:M8" si="2">(57*400)/6</f>
        <v>3800</v>
      </c>
      <c r="I8" s="11">
        <f t="shared" si="2"/>
        <v>3800</v>
      </c>
      <c r="J8" s="11">
        <f t="shared" si="2"/>
        <v>3800</v>
      </c>
      <c r="K8" s="11">
        <f t="shared" si="2"/>
        <v>3800</v>
      </c>
      <c r="L8" s="11">
        <f t="shared" si="2"/>
        <v>3800</v>
      </c>
      <c r="M8" s="11">
        <f t="shared" si="2"/>
        <v>3800</v>
      </c>
      <c r="N8" s="12">
        <f t="shared" si="1"/>
        <v>22800</v>
      </c>
    </row>
    <row r="9" spans="1:14" ht="15.75" thickBo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</row>
    <row r="10" spans="1:14" ht="15.75" thickBot="1" x14ac:dyDescent="0.3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</row>
    <row r="11" spans="1:14" ht="15.75" thickBot="1" x14ac:dyDescent="0.3">
      <c r="A11" s="22" t="s">
        <v>20</v>
      </c>
      <c r="B11" s="23" t="s">
        <v>0</v>
      </c>
      <c r="C11" s="23" t="s">
        <v>1</v>
      </c>
      <c r="D11" s="23" t="s">
        <v>2</v>
      </c>
      <c r="E11" s="23" t="s">
        <v>3</v>
      </c>
      <c r="F11" s="23" t="s">
        <v>4</v>
      </c>
      <c r="G11" s="23" t="s">
        <v>5</v>
      </c>
      <c r="H11" s="23" t="s">
        <v>6</v>
      </c>
      <c r="I11" s="23" t="s">
        <v>7</v>
      </c>
      <c r="J11" s="23" t="s">
        <v>8</v>
      </c>
      <c r="K11" s="23" t="s">
        <v>9</v>
      </c>
      <c r="L11" s="23" t="s">
        <v>10</v>
      </c>
      <c r="M11" s="23" t="s">
        <v>11</v>
      </c>
      <c r="N11" s="24" t="s">
        <v>12</v>
      </c>
    </row>
    <row r="12" spans="1:14" ht="15.75" thickBot="1" x14ac:dyDescent="0.3">
      <c r="A12" s="25"/>
      <c r="B12" s="26">
        <f>'[1]Orçamento geral_2026_detalhado'!B2</f>
        <v>82466.717333333349</v>
      </c>
      <c r="C12" s="26">
        <f>'[1]Orçamento geral_2026_detalhado'!C2</f>
        <v>202956.06448484847</v>
      </c>
      <c r="D12" s="26">
        <f>'[1]Orçamento geral_2026_detalhado'!D2</f>
        <v>204123.35181818181</v>
      </c>
      <c r="E12" s="26">
        <f>'[1]Orçamento geral_2026_detalhado'!E2</f>
        <v>206223.70515151511</v>
      </c>
      <c r="F12" s="26">
        <f>'[1]Orçamento geral_2026_detalhado'!F2</f>
        <v>177140.58515151512</v>
      </c>
      <c r="G12" s="26">
        <f>'[1]Orçamento geral_2026_detalhado'!G2</f>
        <v>208980.19715151514</v>
      </c>
      <c r="H12" s="26">
        <f>'[1]Orçamento geral_2026_detalhado'!H2</f>
        <v>204466.13048484849</v>
      </c>
      <c r="I12" s="26">
        <f>'[1]Orçamento geral_2026_detalhado'!I2</f>
        <v>175138.26108008658</v>
      </c>
      <c r="J12" s="26">
        <f>'[1]Orçamento geral_2026_detalhado'!J2</f>
        <v>153275.64108008656</v>
      </c>
      <c r="K12" s="26">
        <f>'[1]Orçamento geral_2026_detalhado'!K2</f>
        <v>140694.79643722941</v>
      </c>
      <c r="L12" s="26">
        <f>'[1]Orçamento geral_2026_detalhado'!L2</f>
        <v>127563.64977056278</v>
      </c>
      <c r="M12" s="26">
        <f>'[1]Orçamento geral_2026_detalhado'!M2</f>
        <v>91595.070484848489</v>
      </c>
      <c r="N12" s="27">
        <f>SUM(B12:M12)</f>
        <v>1974624.1704285713</v>
      </c>
    </row>
    <row r="13" spans="1:14" ht="15.75" thickBot="1" x14ac:dyDescent="0.3">
      <c r="A13" s="19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</row>
    <row r="14" spans="1:14" ht="15.75" thickBot="1" x14ac:dyDescent="0.3">
      <c r="A14" s="30" t="s">
        <v>21</v>
      </c>
      <c r="B14" s="31" t="s">
        <v>0</v>
      </c>
      <c r="C14" s="31" t="s">
        <v>1</v>
      </c>
      <c r="D14" s="31" t="s">
        <v>2</v>
      </c>
      <c r="E14" s="31" t="s">
        <v>3</v>
      </c>
      <c r="F14" s="31" t="s">
        <v>4</v>
      </c>
      <c r="G14" s="31" t="s">
        <v>5</v>
      </c>
      <c r="H14" s="31" t="s">
        <v>6</v>
      </c>
      <c r="I14" s="31" t="s">
        <v>7</v>
      </c>
      <c r="J14" s="31" t="s">
        <v>8</v>
      </c>
      <c r="K14" s="31" t="s">
        <v>9</v>
      </c>
      <c r="L14" s="31" t="s">
        <v>10</v>
      </c>
      <c r="M14" s="31" t="s">
        <v>11</v>
      </c>
      <c r="N14" s="32" t="s">
        <v>22</v>
      </c>
    </row>
    <row r="15" spans="1:14" ht="15.75" thickBot="1" x14ac:dyDescent="0.3">
      <c r="A15" s="25"/>
      <c r="B15" s="33">
        <f t="shared" ref="B15:N15" si="3">B2-B12</f>
        <v>148320.67933333333</v>
      </c>
      <c r="C15" s="33">
        <f t="shared" si="3"/>
        <v>26749.702181818226</v>
      </c>
      <c r="D15" s="33">
        <f t="shared" si="3"/>
        <v>23589.514848484861</v>
      </c>
      <c r="E15" s="33">
        <f t="shared" si="3"/>
        <v>21370.151515151578</v>
      </c>
      <c r="F15" s="33">
        <f t="shared" si="3"/>
        <v>-12974.388484848459</v>
      </c>
      <c r="G15" s="33">
        <f t="shared" si="3"/>
        <v>-55247.720484848454</v>
      </c>
      <c r="H15" s="33">
        <f t="shared" si="3"/>
        <v>-52392.463818181801</v>
      </c>
      <c r="I15" s="33">
        <f t="shared" si="3"/>
        <v>-23361.594413419894</v>
      </c>
      <c r="J15" s="33">
        <f t="shared" si="3"/>
        <v>-21255.97441341987</v>
      </c>
      <c r="K15" s="33">
        <f t="shared" si="3"/>
        <v>-10461.129770562737</v>
      </c>
      <c r="L15" s="33">
        <f t="shared" si="3"/>
        <v>-31011.143103896116</v>
      </c>
      <c r="M15" s="33">
        <f t="shared" si="3"/>
        <v>9945.5961818181822</v>
      </c>
      <c r="N15" s="34">
        <f t="shared" si="3"/>
        <v>23271.229571429314</v>
      </c>
    </row>
  </sheetData>
  <conditionalFormatting sqref="B15:N1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Assis</dc:creator>
  <cp:lastModifiedBy>renato Assis</cp:lastModifiedBy>
  <dcterms:created xsi:type="dcterms:W3CDTF">2026-02-13T11:54:22Z</dcterms:created>
  <dcterms:modified xsi:type="dcterms:W3CDTF">2026-02-13T11:54:59Z</dcterms:modified>
</cp:coreProperties>
</file>