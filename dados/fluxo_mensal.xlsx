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esktop\"/>
    </mc:Choice>
  </mc:AlternateContent>
  <xr:revisionPtr revIDLastSave="0" documentId="8_{4C3F28B6-125D-4986-89C3-EE51D93F87D0}" xr6:coauthVersionLast="47" xr6:coauthVersionMax="47" xr10:uidLastSave="{00000000-0000-0000-0000-000000000000}"/>
  <bookViews>
    <workbookView xWindow="-24120" yWindow="-2040" windowWidth="24240" windowHeight="13020" xr2:uid="{B118D736-5E75-45BC-920A-E7D2C58BA771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E26" i="1"/>
  <c r="D26" i="1"/>
  <c r="B26" i="1"/>
  <c r="C26" i="1" s="1"/>
  <c r="A26" i="1"/>
  <c r="E25" i="1"/>
  <c r="D25" i="1"/>
  <c r="B25" i="1"/>
  <c r="C25" i="1" s="1"/>
  <c r="A25" i="1"/>
  <c r="E24" i="1"/>
  <c r="D24" i="1"/>
  <c r="C24" i="1"/>
  <c r="L24" i="1" s="1"/>
  <c r="B24" i="1"/>
  <c r="A24" i="1"/>
  <c r="E23" i="1"/>
  <c r="D23" i="1"/>
  <c r="C23" i="1"/>
  <c r="N23" i="1" s="1"/>
  <c r="B23" i="1"/>
  <c r="A23" i="1"/>
  <c r="E22" i="1"/>
  <c r="D22" i="1"/>
  <c r="C22" i="1"/>
  <c r="P22" i="1" s="1"/>
  <c r="B22" i="1"/>
  <c r="A22" i="1"/>
  <c r="G21" i="1"/>
  <c r="E21" i="1"/>
  <c r="Q21" i="1" s="1"/>
  <c r="D21" i="1"/>
  <c r="C21" i="1"/>
  <c r="J21" i="1" s="1"/>
  <c r="B21" i="1"/>
  <c r="A21" i="1"/>
  <c r="Q20" i="1"/>
  <c r="I20" i="1"/>
  <c r="E20" i="1"/>
  <c r="D20" i="1"/>
  <c r="C20" i="1"/>
  <c r="L20" i="1" s="1"/>
  <c r="B20" i="1"/>
  <c r="A20" i="1"/>
  <c r="E19" i="1"/>
  <c r="D19" i="1"/>
  <c r="C19" i="1"/>
  <c r="N19" i="1" s="1"/>
  <c r="B19" i="1"/>
  <c r="A19" i="1"/>
  <c r="E18" i="1"/>
  <c r="D18" i="1"/>
  <c r="C18" i="1"/>
  <c r="P18" i="1" s="1"/>
  <c r="B18" i="1"/>
  <c r="A18" i="1"/>
  <c r="E17" i="1"/>
  <c r="D17" i="1"/>
  <c r="C17" i="1"/>
  <c r="J17" i="1" s="1"/>
  <c r="B17" i="1"/>
  <c r="A17" i="1"/>
  <c r="O16" i="1"/>
  <c r="G16" i="1"/>
  <c r="E16" i="1"/>
  <c r="D16" i="1"/>
  <c r="C16" i="1"/>
  <c r="L16" i="1" s="1"/>
  <c r="B16" i="1"/>
  <c r="A16" i="1"/>
  <c r="Q15" i="1"/>
  <c r="I15" i="1"/>
  <c r="E15" i="1"/>
  <c r="M15" i="1" s="1"/>
  <c r="D15" i="1"/>
  <c r="C15" i="1"/>
  <c r="N15" i="1" s="1"/>
  <c r="B15" i="1"/>
  <c r="A15" i="1"/>
  <c r="E14" i="1"/>
  <c r="D14" i="1"/>
  <c r="C14" i="1"/>
  <c r="P14" i="1" s="1"/>
  <c r="B14" i="1"/>
  <c r="A14" i="1"/>
  <c r="E13" i="1"/>
  <c r="Q13" i="1" s="1"/>
  <c r="D13" i="1"/>
  <c r="C13" i="1"/>
  <c r="J13" i="1" s="1"/>
  <c r="B13" i="1"/>
  <c r="A13" i="1"/>
  <c r="O12" i="1"/>
  <c r="G12" i="1"/>
  <c r="E12" i="1"/>
  <c r="D12" i="1"/>
  <c r="C12" i="1"/>
  <c r="L12" i="1" s="1"/>
  <c r="B12" i="1"/>
  <c r="A12" i="1"/>
  <c r="Q11" i="1"/>
  <c r="M11" i="1"/>
  <c r="I11" i="1"/>
  <c r="E11" i="1"/>
  <c r="D11" i="1"/>
  <c r="C11" i="1"/>
  <c r="N11" i="1" s="1"/>
  <c r="B11" i="1"/>
  <c r="A11" i="1"/>
  <c r="E10" i="1"/>
  <c r="D10" i="1"/>
  <c r="C10" i="1"/>
  <c r="P10" i="1" s="1"/>
  <c r="B10" i="1"/>
  <c r="A10" i="1"/>
  <c r="E9" i="1"/>
  <c r="Q9" i="1" s="1"/>
  <c r="D9" i="1"/>
  <c r="C9" i="1"/>
  <c r="J9" i="1" s="1"/>
  <c r="B9" i="1"/>
  <c r="A9" i="1"/>
  <c r="O8" i="1"/>
  <c r="G8" i="1"/>
  <c r="E8" i="1"/>
  <c r="D8" i="1"/>
  <c r="C8" i="1"/>
  <c r="L8" i="1" s="1"/>
  <c r="B8" i="1"/>
  <c r="A8" i="1"/>
  <c r="Q7" i="1"/>
  <c r="I7" i="1"/>
  <c r="E7" i="1"/>
  <c r="M7" i="1" s="1"/>
  <c r="D7" i="1"/>
  <c r="C7" i="1"/>
  <c r="N7" i="1" s="1"/>
  <c r="B7" i="1"/>
  <c r="A7" i="1"/>
  <c r="E6" i="1"/>
  <c r="D6" i="1"/>
  <c r="C6" i="1"/>
  <c r="P6" i="1" s="1"/>
  <c r="B6" i="1"/>
  <c r="A6" i="1"/>
  <c r="E5" i="1"/>
  <c r="Q5" i="1" s="1"/>
  <c r="D5" i="1"/>
  <c r="C5" i="1"/>
  <c r="J5" i="1" s="1"/>
  <c r="B5" i="1"/>
  <c r="A5" i="1"/>
  <c r="O4" i="1"/>
  <c r="G4" i="1"/>
  <c r="E4" i="1"/>
  <c r="D4" i="1"/>
  <c r="C4" i="1"/>
  <c r="L4" i="1" s="1"/>
  <c r="B4" i="1"/>
  <c r="A4" i="1"/>
  <c r="Q3" i="1"/>
  <c r="I3" i="1"/>
  <c r="E3" i="1"/>
  <c r="M3" i="1" s="1"/>
  <c r="D3" i="1"/>
  <c r="C3" i="1"/>
  <c r="N3" i="1" s="1"/>
  <c r="B3" i="1"/>
  <c r="A3" i="1"/>
  <c r="E2" i="1"/>
  <c r="D2" i="1"/>
  <c r="C2" i="1"/>
  <c r="P2" i="1" s="1"/>
  <c r="B2" i="1"/>
  <c r="A2" i="1"/>
  <c r="Q1" i="1"/>
  <c r="P1" i="1"/>
  <c r="O1" i="1"/>
  <c r="N1" i="1"/>
  <c r="M1" i="1"/>
  <c r="L1" i="1"/>
  <c r="K1" i="1"/>
  <c r="J1" i="1"/>
  <c r="I1" i="1"/>
  <c r="H1" i="1"/>
  <c r="G1" i="1"/>
  <c r="F1" i="1"/>
  <c r="J25" i="1" l="1"/>
  <c r="Q25" i="1"/>
  <c r="I25" i="1"/>
  <c r="P25" i="1"/>
  <c r="H25" i="1"/>
  <c r="O25" i="1"/>
  <c r="G25" i="1"/>
  <c r="N25" i="1"/>
  <c r="F25" i="1"/>
  <c r="M25" i="1"/>
  <c r="L25" i="1"/>
  <c r="K25" i="1"/>
  <c r="P26" i="1"/>
  <c r="H26" i="1"/>
  <c r="O26" i="1"/>
  <c r="G26" i="1"/>
  <c r="N26" i="1"/>
  <c r="F26" i="1"/>
  <c r="M26" i="1"/>
  <c r="L26" i="1"/>
  <c r="K26" i="1"/>
  <c r="J26" i="1"/>
  <c r="Q26" i="1"/>
  <c r="I26" i="1"/>
  <c r="K17" i="1"/>
  <c r="I18" i="1"/>
  <c r="Q18" i="1"/>
  <c r="G19" i="1"/>
  <c r="O19" i="1"/>
  <c r="M20" i="1"/>
  <c r="K21" i="1"/>
  <c r="I22" i="1"/>
  <c r="Q22" i="1"/>
  <c r="G23" i="1"/>
  <c r="O23" i="1"/>
  <c r="M24" i="1"/>
  <c r="M5" i="1"/>
  <c r="K6" i="1"/>
  <c r="I2" i="1"/>
  <c r="Q2" i="1"/>
  <c r="G3" i="1"/>
  <c r="O3" i="1"/>
  <c r="M4" i="1"/>
  <c r="K5" i="1"/>
  <c r="I6" i="1"/>
  <c r="Q6" i="1"/>
  <c r="G7" i="1"/>
  <c r="O7" i="1"/>
  <c r="M8" i="1"/>
  <c r="K9" i="1"/>
  <c r="I10" i="1"/>
  <c r="Q10" i="1"/>
  <c r="G11" i="1"/>
  <c r="O11" i="1"/>
  <c r="M12" i="1"/>
  <c r="K13" i="1"/>
  <c r="I14" i="1"/>
  <c r="Q14" i="1"/>
  <c r="G15" i="1"/>
  <c r="O15" i="1"/>
  <c r="M16" i="1"/>
  <c r="J2" i="1"/>
  <c r="H3" i="1"/>
  <c r="P3" i="1"/>
  <c r="P27" i="1" s="1"/>
  <c r="F4" i="1"/>
  <c r="N4" i="1"/>
  <c r="L5" i="1"/>
  <c r="J6" i="1"/>
  <c r="H7" i="1"/>
  <c r="P7" i="1"/>
  <c r="F8" i="1"/>
  <c r="N8" i="1"/>
  <c r="L9" i="1"/>
  <c r="J10" i="1"/>
  <c r="H11" i="1"/>
  <c r="P11" i="1"/>
  <c r="F12" i="1"/>
  <c r="N12" i="1"/>
  <c r="L13" i="1"/>
  <c r="J14" i="1"/>
  <c r="H15" i="1"/>
  <c r="P15" i="1"/>
  <c r="F16" i="1"/>
  <c r="N16" i="1"/>
  <c r="L17" i="1"/>
  <c r="J18" i="1"/>
  <c r="H19" i="1"/>
  <c r="P19" i="1"/>
  <c r="F20" i="1"/>
  <c r="N20" i="1"/>
  <c r="L21" i="1"/>
  <c r="J22" i="1"/>
  <c r="H23" i="1"/>
  <c r="P23" i="1"/>
  <c r="F24" i="1"/>
  <c r="R24" i="1" s="1"/>
  <c r="N24" i="1"/>
  <c r="K2" i="1"/>
  <c r="M9" i="1"/>
  <c r="K10" i="1"/>
  <c r="M13" i="1"/>
  <c r="M17" i="1"/>
  <c r="K22" i="1"/>
  <c r="I23" i="1"/>
  <c r="Q23" i="1"/>
  <c r="G24" i="1"/>
  <c r="O24" i="1"/>
  <c r="K18" i="1"/>
  <c r="I19" i="1"/>
  <c r="Q19" i="1"/>
  <c r="G20" i="1"/>
  <c r="O20" i="1"/>
  <c r="M21" i="1"/>
  <c r="L2" i="1"/>
  <c r="J3" i="1"/>
  <c r="H4" i="1"/>
  <c r="P4" i="1"/>
  <c r="F5" i="1"/>
  <c r="N5" i="1"/>
  <c r="L6" i="1"/>
  <c r="J7" i="1"/>
  <c r="H8" i="1"/>
  <c r="P8" i="1"/>
  <c r="F9" i="1"/>
  <c r="N9" i="1"/>
  <c r="L10" i="1"/>
  <c r="J11" i="1"/>
  <c r="H12" i="1"/>
  <c r="P12" i="1"/>
  <c r="F13" i="1"/>
  <c r="N13" i="1"/>
  <c r="L14" i="1"/>
  <c r="J15" i="1"/>
  <c r="H16" i="1"/>
  <c r="P16" i="1"/>
  <c r="F17" i="1"/>
  <c r="R17" i="1" s="1"/>
  <c r="N17" i="1"/>
  <c r="L18" i="1"/>
  <c r="J19" i="1"/>
  <c r="H20" i="1"/>
  <c r="P20" i="1"/>
  <c r="F21" i="1"/>
  <c r="N21" i="1"/>
  <c r="L22" i="1"/>
  <c r="J23" i="1"/>
  <c r="H24" i="1"/>
  <c r="P24" i="1"/>
  <c r="K3" i="1"/>
  <c r="M6" i="1"/>
  <c r="K23" i="1"/>
  <c r="I24" i="1"/>
  <c r="Q24" i="1"/>
  <c r="M2" i="1"/>
  <c r="I4" i="1"/>
  <c r="Q4" i="1"/>
  <c r="G5" i="1"/>
  <c r="O5" i="1"/>
  <c r="K7" i="1"/>
  <c r="I8" i="1"/>
  <c r="Q8" i="1"/>
  <c r="G9" i="1"/>
  <c r="O9" i="1"/>
  <c r="M10" i="1"/>
  <c r="K11" i="1"/>
  <c r="I12" i="1"/>
  <c r="Q12" i="1"/>
  <c r="G13" i="1"/>
  <c r="O13" i="1"/>
  <c r="M14" i="1"/>
  <c r="K15" i="1"/>
  <c r="I16" i="1"/>
  <c r="Q16" i="1"/>
  <c r="G17" i="1"/>
  <c r="O17" i="1"/>
  <c r="M18" i="1"/>
  <c r="K19" i="1"/>
  <c r="O21" i="1"/>
  <c r="M22" i="1"/>
  <c r="F2" i="1"/>
  <c r="N2" i="1"/>
  <c r="L3" i="1"/>
  <c r="J4" i="1"/>
  <c r="H5" i="1"/>
  <c r="P5" i="1"/>
  <c r="F6" i="1"/>
  <c r="N6" i="1"/>
  <c r="L7" i="1"/>
  <c r="J8" i="1"/>
  <c r="H9" i="1"/>
  <c r="P9" i="1"/>
  <c r="F10" i="1"/>
  <c r="N10" i="1"/>
  <c r="L11" i="1"/>
  <c r="J12" i="1"/>
  <c r="H13" i="1"/>
  <c r="P13" i="1"/>
  <c r="F14" i="1"/>
  <c r="N14" i="1"/>
  <c r="L15" i="1"/>
  <c r="J16" i="1"/>
  <c r="H17" i="1"/>
  <c r="P17" i="1"/>
  <c r="F18" i="1"/>
  <c r="N18" i="1"/>
  <c r="L19" i="1"/>
  <c r="J20" i="1"/>
  <c r="H21" i="1"/>
  <c r="P21" i="1"/>
  <c r="F22" i="1"/>
  <c r="N22" i="1"/>
  <c r="L23" i="1"/>
  <c r="J24" i="1"/>
  <c r="K14" i="1"/>
  <c r="G2" i="1"/>
  <c r="O2" i="1"/>
  <c r="K4" i="1"/>
  <c r="I5" i="1"/>
  <c r="O6" i="1"/>
  <c r="K8" i="1"/>
  <c r="I9" i="1"/>
  <c r="G10" i="1"/>
  <c r="O10" i="1"/>
  <c r="K12" i="1"/>
  <c r="I13" i="1"/>
  <c r="G14" i="1"/>
  <c r="O14" i="1"/>
  <c r="K24" i="1"/>
  <c r="G6" i="1"/>
  <c r="K16" i="1"/>
  <c r="I17" i="1"/>
  <c r="Q17" i="1"/>
  <c r="G18" i="1"/>
  <c r="O18" i="1"/>
  <c r="M19" i="1"/>
  <c r="K20" i="1"/>
  <c r="I21" i="1"/>
  <c r="G22" i="1"/>
  <c r="O22" i="1"/>
  <c r="M23" i="1"/>
  <c r="H2" i="1"/>
  <c r="H27" i="1" s="1"/>
  <c r="F3" i="1"/>
  <c r="H6" i="1"/>
  <c r="F7" i="1"/>
  <c r="H10" i="1"/>
  <c r="F11" i="1"/>
  <c r="H14" i="1"/>
  <c r="F15" i="1"/>
  <c r="H18" i="1"/>
  <c r="F19" i="1"/>
  <c r="H22" i="1"/>
  <c r="F23" i="1"/>
  <c r="I27" i="1" l="1"/>
  <c r="R15" i="1"/>
  <c r="O27" i="1"/>
  <c r="R10" i="1"/>
  <c r="J27" i="1"/>
  <c r="R21" i="1"/>
  <c r="R5" i="1"/>
  <c r="R12" i="1"/>
  <c r="R11" i="1"/>
  <c r="R14" i="1"/>
  <c r="R8" i="1"/>
  <c r="G27" i="1"/>
  <c r="N27" i="1"/>
  <c r="R9" i="1"/>
  <c r="R16" i="1"/>
  <c r="R26" i="1"/>
  <c r="R23" i="1"/>
  <c r="R18" i="1"/>
  <c r="F27" i="1"/>
  <c r="R2" i="1"/>
  <c r="R13" i="1"/>
  <c r="L27" i="1"/>
  <c r="K27" i="1"/>
  <c r="R20" i="1"/>
  <c r="R4" i="1"/>
  <c r="R7" i="1"/>
  <c r="R19" i="1"/>
  <c r="R3" i="1"/>
  <c r="R22" i="1"/>
  <c r="R6" i="1"/>
  <c r="M27" i="1"/>
  <c r="Q27" i="1"/>
  <c r="R25" i="1"/>
  <c r="R27" i="1" l="1"/>
</calcChain>
</file>

<file path=xl/sharedStrings.xml><?xml version="1.0" encoding="utf-8"?>
<sst xmlns="http://schemas.openxmlformats.org/spreadsheetml/2006/main" count="7" uniqueCount="6">
  <si>
    <t>escola</t>
  </si>
  <si>
    <t>modelo_contratual</t>
  </si>
  <si>
    <t>parcelas_usadas</t>
  </si>
  <si>
    <t>valor_anual</t>
  </si>
  <si>
    <t>mes_inicio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</si>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</sst>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/&quot;yy"/>
    <numFmt numFmtId="165" formatCode="[$R$ -416]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 tint="0.249977111117893"/>
        <bgColor rgb="FF4A86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nato\Desktop\Or&#231;amento_2026_Premissas_Completas.xlsx" TargetMode="External"/><Relationship Id="rId1" Type="http://schemas.openxmlformats.org/officeDocument/2006/relationships/externalLinkPath" Target="Or&#231;amento_2026_Premissas_Comple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 geral_2026_detalhado"/>
      <sheetName val="Prev_desp_resumo"/>
      <sheetName val="Fluxo_operacional"/>
      <sheetName val="Receitas_paideia_2026"/>
      <sheetName val="previsão_fluxomensal"/>
      <sheetName val="premissas_despesas"/>
      <sheetName val="premissas_receitas"/>
      <sheetName val="prod_fund1"/>
      <sheetName val="Boletos Escolas 2026"/>
      <sheetName val="Pedido Extra - Estoque"/>
      <sheetName val="Cortesias"/>
      <sheetName val="Folha"/>
      <sheetName val="Orçamento_grafica"/>
      <sheetName val="Folha 2"/>
      <sheetName val="Folha 3"/>
    </sheetNames>
    <sheetDataSet>
      <sheetData sheetId="0"/>
      <sheetData sheetId="1"/>
      <sheetData sheetId="2"/>
      <sheetData sheetId="3">
        <row r="2">
          <cell r="I2" t="str">
            <v>CULTURA CRISTÃ</v>
          </cell>
          <cell r="J2" t="str">
            <v>Boleto</v>
          </cell>
          <cell r="K2">
            <v>4</v>
          </cell>
          <cell r="T2">
            <v>24000</v>
          </cell>
        </row>
        <row r="3">
          <cell r="I3" t="str">
            <v>ALFA 2</v>
          </cell>
          <cell r="J3" t="str">
            <v>Boleto</v>
          </cell>
          <cell r="K3">
            <v>4</v>
          </cell>
          <cell r="T3">
            <v>40000</v>
          </cell>
        </row>
        <row r="4">
          <cell r="I4" t="str">
            <v>ROSA DE SARON</v>
          </cell>
          <cell r="J4" t="str">
            <v>Boleto</v>
          </cell>
          <cell r="K4">
            <v>8</v>
          </cell>
          <cell r="T4">
            <v>99000</v>
          </cell>
        </row>
        <row r="5">
          <cell r="I5" t="str">
            <v>IMAGO DEI</v>
          </cell>
          <cell r="J5" t="str">
            <v>Boleto</v>
          </cell>
          <cell r="K5">
            <v>4</v>
          </cell>
          <cell r="T5">
            <v>39000</v>
          </cell>
        </row>
        <row r="6">
          <cell r="I6" t="str">
            <v>ESTÍMULOS</v>
          </cell>
          <cell r="J6" t="str">
            <v>Boleto</v>
          </cell>
          <cell r="K6">
            <v>5</v>
          </cell>
          <cell r="T6">
            <v>29357</v>
          </cell>
        </row>
        <row r="7">
          <cell r="I7" t="str">
            <v>LUMINI DEO</v>
          </cell>
          <cell r="J7" t="str">
            <v>Boleto</v>
          </cell>
          <cell r="K7">
            <v>10</v>
          </cell>
          <cell r="T7">
            <v>14000</v>
          </cell>
        </row>
        <row r="8">
          <cell r="I8" t="str">
            <v>REVERENDO OLAVO NUNES</v>
          </cell>
          <cell r="J8" t="str">
            <v>Boleto</v>
          </cell>
          <cell r="K8">
            <v>10</v>
          </cell>
          <cell r="T8">
            <v>64000</v>
          </cell>
        </row>
        <row r="9">
          <cell r="I9" t="str">
            <v>LOGOS DE INDAIATUBA</v>
          </cell>
          <cell r="J9" t="str">
            <v>Boleto</v>
          </cell>
          <cell r="K9">
            <v>4</v>
          </cell>
          <cell r="T9">
            <v>39000</v>
          </cell>
        </row>
        <row r="10">
          <cell r="I10" t="str">
            <v>CRISTÃ SUDOESTE</v>
          </cell>
          <cell r="J10" t="str">
            <v>Eskolare</v>
          </cell>
          <cell r="K10">
            <v>12</v>
          </cell>
          <cell r="T10">
            <v>59000</v>
          </cell>
        </row>
        <row r="11">
          <cell r="I11" t="str">
            <v>CAPIM KIDS</v>
          </cell>
          <cell r="J11" t="str">
            <v>-</v>
          </cell>
          <cell r="K11" t="str">
            <v>-</v>
          </cell>
          <cell r="T11">
            <v>0</v>
          </cell>
        </row>
        <row r="12">
          <cell r="I12" t="str">
            <v>ACBV - Academia Cristã de Boa Vista</v>
          </cell>
          <cell r="J12" t="str">
            <v>Eskolare</v>
          </cell>
          <cell r="K12">
            <v>12</v>
          </cell>
          <cell r="T12">
            <v>139000</v>
          </cell>
        </row>
        <row r="13">
          <cell r="I13" t="str">
            <v>TRINUM</v>
          </cell>
          <cell r="J13" t="str">
            <v>Eskolare</v>
          </cell>
          <cell r="K13">
            <v>12</v>
          </cell>
          <cell r="T13">
            <v>189000</v>
          </cell>
        </row>
        <row r="14">
          <cell r="I14" t="str">
            <v>IBEC</v>
          </cell>
          <cell r="J14" t="str">
            <v>Eskolare</v>
          </cell>
          <cell r="K14">
            <v>12</v>
          </cell>
          <cell r="T14">
            <v>41548</v>
          </cell>
        </row>
        <row r="15">
          <cell r="I15" t="str">
            <v>INSTITUTO EDUCACIONAL EXCELÊNCIA</v>
          </cell>
          <cell r="J15" t="str">
            <v>Eskolare</v>
          </cell>
          <cell r="K15">
            <v>12</v>
          </cell>
          <cell r="T15">
            <v>48000</v>
          </cell>
        </row>
        <row r="16">
          <cell r="I16" t="str">
            <v>MOREH CHRISTIAN CENTER</v>
          </cell>
          <cell r="J16" t="str">
            <v>Boleto</v>
          </cell>
          <cell r="K16">
            <v>6</v>
          </cell>
          <cell r="T16">
            <v>30000</v>
          </cell>
        </row>
        <row r="17">
          <cell r="I17" t="str">
            <v>LIRIO DOS VALES</v>
          </cell>
          <cell r="J17" t="str">
            <v>Boleto</v>
          </cell>
          <cell r="K17">
            <v>4</v>
          </cell>
          <cell r="T17">
            <v>62000</v>
          </cell>
        </row>
        <row r="18">
          <cell r="I18" t="str">
            <v>CORAM DEO</v>
          </cell>
          <cell r="J18" t="str">
            <v>Boleto</v>
          </cell>
          <cell r="K18">
            <v>4</v>
          </cell>
          <cell r="T18">
            <v>48600</v>
          </cell>
        </row>
        <row r="19">
          <cell r="I19" t="str">
            <v>FAROL</v>
          </cell>
          <cell r="J19" t="str">
            <v>Eskolare</v>
          </cell>
          <cell r="K19">
            <v>12</v>
          </cell>
          <cell r="T19">
            <v>63000</v>
          </cell>
        </row>
        <row r="20">
          <cell r="I20" t="str">
            <v>ZOE</v>
          </cell>
          <cell r="J20" t="str">
            <v>Eskolare</v>
          </cell>
          <cell r="K20">
            <v>12</v>
          </cell>
          <cell r="T20">
            <v>134400</v>
          </cell>
        </row>
        <row r="21">
          <cell r="I21" t="str">
            <v>BATISTA FLUMINENSE</v>
          </cell>
          <cell r="J21" t="str">
            <v>Eskolare</v>
          </cell>
          <cell r="K21">
            <v>12</v>
          </cell>
          <cell r="T21">
            <v>145000</v>
          </cell>
        </row>
        <row r="22">
          <cell r="I22" t="str">
            <v>LUZ</v>
          </cell>
          <cell r="J22" t="str">
            <v>Boleto</v>
          </cell>
          <cell r="K22">
            <v>5</v>
          </cell>
          <cell r="T22">
            <v>26400</v>
          </cell>
        </row>
        <row r="23">
          <cell r="I23" t="str">
            <v>LAMAD</v>
          </cell>
          <cell r="J23" t="str">
            <v>Boleto</v>
          </cell>
          <cell r="K23">
            <v>8</v>
          </cell>
          <cell r="T23">
            <v>56200</v>
          </cell>
        </row>
        <row r="24">
          <cell r="I24" t="str">
            <v>FLORESCER</v>
          </cell>
          <cell r="J24" t="str">
            <v>Boleto</v>
          </cell>
          <cell r="K24">
            <v>12</v>
          </cell>
          <cell r="T24">
            <v>57000</v>
          </cell>
        </row>
        <row r="25">
          <cell r="I25" t="str">
            <v>GAUSS</v>
          </cell>
          <cell r="J25" t="str">
            <v>Boleto</v>
          </cell>
          <cell r="K25">
            <v>12</v>
          </cell>
          <cell r="T25">
            <v>225000</v>
          </cell>
        </row>
        <row r="26">
          <cell r="I26" t="str">
            <v>CIDADE VIVA ACADEMY</v>
          </cell>
          <cell r="J26" t="str">
            <v>Boleto</v>
          </cell>
          <cell r="K26">
            <v>10</v>
          </cell>
          <cell r="T26">
            <v>247000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2858-F132-4790-9A3E-80052098C6F8}">
  <dimension ref="A1:R27"/>
  <sheetViews>
    <sheetView tabSelected="1" workbookViewId="0">
      <selection activeCell="E4" sqref="E4"/>
    </sheetView>
  </sheetViews>
  <sheetFormatPr defaultRowHeight="15" x14ac:dyDescent="0.25"/>
  <cols>
    <col min="1" max="1" width="34.85546875" bestFit="1" customWidth="1"/>
    <col min="4" max="4" width="12.7109375" bestFit="1" customWidth="1"/>
    <col min="5" max="5" width="10.7109375" bestFit="1" customWidth="1"/>
    <col min="18" max="18" width="11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f>DATE(2026,1,1)</f>
        <v>46023</v>
      </c>
      <c r="G1" s="2">
        <f>DATE(2026,2,1)</f>
        <v>46054</v>
      </c>
      <c r="H1" s="2">
        <f>DATE(2026,3,1)</f>
        <v>46082</v>
      </c>
      <c r="I1" s="2">
        <f>DATE(2026,4,1)</f>
        <v>46113</v>
      </c>
      <c r="J1" s="2">
        <f>DATE(2026,5,1)</f>
        <v>46143</v>
      </c>
      <c r="K1" s="2">
        <f>DATE(2026,6,1)</f>
        <v>46174</v>
      </c>
      <c r="L1" s="2">
        <f>DATE(2026,7,1)</f>
        <v>46204</v>
      </c>
      <c r="M1" s="2">
        <f>DATE(2026,8,1)</f>
        <v>46235</v>
      </c>
      <c r="N1" s="2">
        <f>DATE(2026,9,1)</f>
        <v>46266</v>
      </c>
      <c r="O1" s="2">
        <f>DATE(2026,10,1)</f>
        <v>46296</v>
      </c>
      <c r="P1" s="2">
        <f>DATE(2026,11,1)</f>
        <v>46327</v>
      </c>
      <c r="Q1" s="2">
        <f>DATE(2026,12,1)</f>
        <v>46357</v>
      </c>
      <c r="R1" s="3" t="s">
        <v>5</v>
      </c>
    </row>
    <row r="2" spans="1:18" x14ac:dyDescent="0.25">
      <c r="A2" s="4" t="str">
        <f>[1]Receitas_paideia_2026!I2</f>
        <v>CULTURA CRISTÃ</v>
      </c>
      <c r="B2" s="5" t="str">
        <f>[1]Receitas_paideia_2026!J2</f>
        <v>Boleto</v>
      </c>
      <c r="C2" s="5">
        <f>IF(B2="Eskolare",12,IF(B2="Boleto",[1]Receitas_paideia_2026!K2,0))</f>
        <v>4</v>
      </c>
      <c r="D2" s="6">
        <f>[1]Receitas_paideia_2026!T2</f>
        <v>24000</v>
      </c>
      <c r="E2" s="7">
        <f t="shared" ref="E2:E26" si="0">DATE(2026,1,1)</f>
        <v>46023</v>
      </c>
      <c r="F2" s="8">
        <f t="shared" ref="F2:Q17" si="1">IF($C2=0,0,IF(DATEDIF($E2,F$1,"m")&lt;$C2,$D2/$C2,0))</f>
        <v>6000</v>
      </c>
      <c r="G2" s="8">
        <f t="shared" si="1"/>
        <v>6000</v>
      </c>
      <c r="H2" s="8">
        <f t="shared" si="1"/>
        <v>6000</v>
      </c>
      <c r="I2" s="8">
        <f t="shared" si="1"/>
        <v>6000</v>
      </c>
      <c r="J2" s="8">
        <f t="shared" si="1"/>
        <v>0</v>
      </c>
      <c r="K2" s="8">
        <f t="shared" si="1"/>
        <v>0</v>
      </c>
      <c r="L2" s="8">
        <f t="shared" si="1"/>
        <v>0</v>
      </c>
      <c r="M2" s="8">
        <f t="shared" si="1"/>
        <v>0</v>
      </c>
      <c r="N2" s="8">
        <f t="shared" si="1"/>
        <v>0</v>
      </c>
      <c r="O2" s="8">
        <f t="shared" si="1"/>
        <v>0</v>
      </c>
      <c r="P2" s="8">
        <f t="shared" si="1"/>
        <v>0</v>
      </c>
      <c r="Q2" s="8">
        <f t="shared" si="1"/>
        <v>0</v>
      </c>
      <c r="R2" s="9">
        <f t="shared" ref="R2:R27" si="2">SUM(F2:Q2)</f>
        <v>24000</v>
      </c>
    </row>
    <row r="3" spans="1:18" x14ac:dyDescent="0.25">
      <c r="A3" s="4" t="str">
        <f>[1]Receitas_paideia_2026!I3</f>
        <v>ALFA 2</v>
      </c>
      <c r="B3" s="5" t="str">
        <f>[1]Receitas_paideia_2026!J3</f>
        <v>Boleto</v>
      </c>
      <c r="C3" s="5">
        <f>IF(B3="Eskolare",12,IF(B3="Boleto",[1]Receitas_paideia_2026!K3,0))</f>
        <v>4</v>
      </c>
      <c r="D3" s="6">
        <f>[1]Receitas_paideia_2026!T3</f>
        <v>40000</v>
      </c>
      <c r="E3" s="7">
        <f t="shared" si="0"/>
        <v>46023</v>
      </c>
      <c r="F3" s="8">
        <f t="shared" si="1"/>
        <v>10000</v>
      </c>
      <c r="G3" s="8">
        <f t="shared" si="1"/>
        <v>10000</v>
      </c>
      <c r="H3" s="8">
        <f t="shared" si="1"/>
        <v>10000</v>
      </c>
      <c r="I3" s="8">
        <f t="shared" si="1"/>
        <v>10000</v>
      </c>
      <c r="J3" s="8">
        <f t="shared" si="1"/>
        <v>0</v>
      </c>
      <c r="K3" s="8">
        <f t="shared" si="1"/>
        <v>0</v>
      </c>
      <c r="L3" s="8">
        <f t="shared" si="1"/>
        <v>0</v>
      </c>
      <c r="M3" s="8">
        <f t="shared" si="1"/>
        <v>0</v>
      </c>
      <c r="N3" s="8">
        <f t="shared" si="1"/>
        <v>0</v>
      </c>
      <c r="O3" s="8">
        <f t="shared" si="1"/>
        <v>0</v>
      </c>
      <c r="P3" s="8">
        <f t="shared" si="1"/>
        <v>0</v>
      </c>
      <c r="Q3" s="8">
        <f t="shared" si="1"/>
        <v>0</v>
      </c>
      <c r="R3" s="9">
        <f t="shared" si="2"/>
        <v>40000</v>
      </c>
    </row>
    <row r="4" spans="1:18" x14ac:dyDescent="0.25">
      <c r="A4" s="4" t="str">
        <f>[1]Receitas_paideia_2026!I4</f>
        <v>ROSA DE SARON</v>
      </c>
      <c r="B4" s="5" t="str">
        <f>[1]Receitas_paideia_2026!J4</f>
        <v>Boleto</v>
      </c>
      <c r="C4" s="5">
        <f>IF(B4="Eskolare",12,IF(B4="Boleto",[1]Receitas_paideia_2026!K4,0))</f>
        <v>8</v>
      </c>
      <c r="D4" s="6">
        <f>[1]Receitas_paideia_2026!T4</f>
        <v>99000</v>
      </c>
      <c r="E4" s="7">
        <f t="shared" si="0"/>
        <v>46023</v>
      </c>
      <c r="F4" s="8">
        <f t="shared" si="1"/>
        <v>12375</v>
      </c>
      <c r="G4" s="8">
        <f t="shared" si="1"/>
        <v>12375</v>
      </c>
      <c r="H4" s="8">
        <f t="shared" si="1"/>
        <v>12375</v>
      </c>
      <c r="I4" s="8">
        <f t="shared" si="1"/>
        <v>12375</v>
      </c>
      <c r="J4" s="8">
        <f t="shared" si="1"/>
        <v>12375</v>
      </c>
      <c r="K4" s="8">
        <f t="shared" si="1"/>
        <v>12375</v>
      </c>
      <c r="L4" s="8">
        <f t="shared" si="1"/>
        <v>12375</v>
      </c>
      <c r="M4" s="8">
        <f t="shared" si="1"/>
        <v>12375</v>
      </c>
      <c r="N4" s="8">
        <f t="shared" si="1"/>
        <v>0</v>
      </c>
      <c r="O4" s="8">
        <f t="shared" si="1"/>
        <v>0</v>
      </c>
      <c r="P4" s="8">
        <f t="shared" si="1"/>
        <v>0</v>
      </c>
      <c r="Q4" s="8">
        <f t="shared" si="1"/>
        <v>0</v>
      </c>
      <c r="R4" s="9">
        <f t="shared" si="2"/>
        <v>99000</v>
      </c>
    </row>
    <row r="5" spans="1:18" x14ac:dyDescent="0.25">
      <c r="A5" s="4" t="str">
        <f>[1]Receitas_paideia_2026!I5</f>
        <v>IMAGO DEI</v>
      </c>
      <c r="B5" s="5" t="str">
        <f>[1]Receitas_paideia_2026!J5</f>
        <v>Boleto</v>
      </c>
      <c r="C5" s="5">
        <f>IF(B5="Eskolare",12,IF(B5="Boleto",[1]Receitas_paideia_2026!K5,0))</f>
        <v>4</v>
      </c>
      <c r="D5" s="6">
        <f>[1]Receitas_paideia_2026!T5</f>
        <v>39000</v>
      </c>
      <c r="E5" s="7">
        <f t="shared" si="0"/>
        <v>46023</v>
      </c>
      <c r="F5" s="8">
        <f t="shared" si="1"/>
        <v>9750</v>
      </c>
      <c r="G5" s="8">
        <f t="shared" si="1"/>
        <v>9750</v>
      </c>
      <c r="H5" s="8">
        <f t="shared" si="1"/>
        <v>9750</v>
      </c>
      <c r="I5" s="8">
        <f t="shared" si="1"/>
        <v>9750</v>
      </c>
      <c r="J5" s="8">
        <f t="shared" si="1"/>
        <v>0</v>
      </c>
      <c r="K5" s="8">
        <f t="shared" si="1"/>
        <v>0</v>
      </c>
      <c r="L5" s="8">
        <f t="shared" si="1"/>
        <v>0</v>
      </c>
      <c r="M5" s="8">
        <f t="shared" si="1"/>
        <v>0</v>
      </c>
      <c r="N5" s="8">
        <f t="shared" si="1"/>
        <v>0</v>
      </c>
      <c r="O5" s="8">
        <f t="shared" si="1"/>
        <v>0</v>
      </c>
      <c r="P5" s="8">
        <f t="shared" si="1"/>
        <v>0</v>
      </c>
      <c r="Q5" s="8">
        <f t="shared" si="1"/>
        <v>0</v>
      </c>
      <c r="R5" s="9">
        <f t="shared" si="2"/>
        <v>39000</v>
      </c>
    </row>
    <row r="6" spans="1:18" x14ac:dyDescent="0.25">
      <c r="A6" s="4" t="str">
        <f>[1]Receitas_paideia_2026!I6</f>
        <v>ESTÍMULOS</v>
      </c>
      <c r="B6" s="5" t="str">
        <f>[1]Receitas_paideia_2026!J6</f>
        <v>Boleto</v>
      </c>
      <c r="C6" s="5">
        <f>IF(B6="Eskolare",12,IF(B6="Boleto",[1]Receitas_paideia_2026!K6,0))</f>
        <v>5</v>
      </c>
      <c r="D6" s="6">
        <f>[1]Receitas_paideia_2026!T6</f>
        <v>29357</v>
      </c>
      <c r="E6" s="7">
        <f t="shared" si="0"/>
        <v>46023</v>
      </c>
      <c r="F6" s="8">
        <f t="shared" si="1"/>
        <v>5871.4</v>
      </c>
      <c r="G6" s="8">
        <f t="shared" si="1"/>
        <v>5871.4</v>
      </c>
      <c r="H6" s="8">
        <f t="shared" si="1"/>
        <v>5871.4</v>
      </c>
      <c r="I6" s="8">
        <f t="shared" si="1"/>
        <v>5871.4</v>
      </c>
      <c r="J6" s="8">
        <f t="shared" si="1"/>
        <v>5871.4</v>
      </c>
      <c r="K6" s="8">
        <f t="shared" si="1"/>
        <v>0</v>
      </c>
      <c r="L6" s="8">
        <f t="shared" si="1"/>
        <v>0</v>
      </c>
      <c r="M6" s="8">
        <f t="shared" si="1"/>
        <v>0</v>
      </c>
      <c r="N6" s="8">
        <f t="shared" si="1"/>
        <v>0</v>
      </c>
      <c r="O6" s="8">
        <f t="shared" si="1"/>
        <v>0</v>
      </c>
      <c r="P6" s="8">
        <f t="shared" si="1"/>
        <v>0</v>
      </c>
      <c r="Q6" s="8">
        <f t="shared" si="1"/>
        <v>0</v>
      </c>
      <c r="R6" s="9">
        <f t="shared" si="2"/>
        <v>29357</v>
      </c>
    </row>
    <row r="7" spans="1:18" x14ac:dyDescent="0.25">
      <c r="A7" s="4" t="str">
        <f>[1]Receitas_paideia_2026!I7</f>
        <v>LUMINI DEO</v>
      </c>
      <c r="B7" s="5" t="str">
        <f>[1]Receitas_paideia_2026!J7</f>
        <v>Boleto</v>
      </c>
      <c r="C7" s="5">
        <f>IF(B7="Eskolare",12,IF(B7="Boleto",[1]Receitas_paideia_2026!K7,0))</f>
        <v>10</v>
      </c>
      <c r="D7" s="6">
        <f>[1]Receitas_paideia_2026!T7</f>
        <v>14000</v>
      </c>
      <c r="E7" s="7">
        <f t="shared" si="0"/>
        <v>46023</v>
      </c>
      <c r="F7" s="8">
        <f t="shared" si="1"/>
        <v>1400</v>
      </c>
      <c r="G7" s="8">
        <f t="shared" si="1"/>
        <v>1400</v>
      </c>
      <c r="H7" s="8">
        <f t="shared" si="1"/>
        <v>1400</v>
      </c>
      <c r="I7" s="8">
        <f t="shared" si="1"/>
        <v>1400</v>
      </c>
      <c r="J7" s="8">
        <f t="shared" si="1"/>
        <v>1400</v>
      </c>
      <c r="K7" s="8">
        <f t="shared" si="1"/>
        <v>1400</v>
      </c>
      <c r="L7" s="8">
        <f t="shared" si="1"/>
        <v>1400</v>
      </c>
      <c r="M7" s="8">
        <f t="shared" si="1"/>
        <v>1400</v>
      </c>
      <c r="N7" s="8">
        <f t="shared" si="1"/>
        <v>1400</v>
      </c>
      <c r="O7" s="8">
        <f t="shared" si="1"/>
        <v>1400</v>
      </c>
      <c r="P7" s="8">
        <f t="shared" si="1"/>
        <v>0</v>
      </c>
      <c r="Q7" s="8">
        <f t="shared" si="1"/>
        <v>0</v>
      </c>
      <c r="R7" s="9">
        <f t="shared" si="2"/>
        <v>14000</v>
      </c>
    </row>
    <row r="8" spans="1:18" x14ac:dyDescent="0.25">
      <c r="A8" s="4" t="str">
        <f>[1]Receitas_paideia_2026!I8</f>
        <v>REVERENDO OLAVO NUNES</v>
      </c>
      <c r="B8" s="5" t="str">
        <f>[1]Receitas_paideia_2026!J8</f>
        <v>Boleto</v>
      </c>
      <c r="C8" s="5">
        <f>IF(B8="Eskolare",12,IF(B8="Boleto",[1]Receitas_paideia_2026!K8,0))</f>
        <v>10</v>
      </c>
      <c r="D8" s="6">
        <f>[1]Receitas_paideia_2026!T8</f>
        <v>64000</v>
      </c>
      <c r="E8" s="7">
        <f t="shared" si="0"/>
        <v>46023</v>
      </c>
      <c r="F8" s="8">
        <f t="shared" si="1"/>
        <v>6400</v>
      </c>
      <c r="G8" s="8">
        <f t="shared" si="1"/>
        <v>6400</v>
      </c>
      <c r="H8" s="8">
        <f t="shared" si="1"/>
        <v>6400</v>
      </c>
      <c r="I8" s="8">
        <f t="shared" si="1"/>
        <v>6400</v>
      </c>
      <c r="J8" s="8">
        <f t="shared" si="1"/>
        <v>6400</v>
      </c>
      <c r="K8" s="8">
        <f t="shared" si="1"/>
        <v>6400</v>
      </c>
      <c r="L8" s="8">
        <f t="shared" si="1"/>
        <v>6400</v>
      </c>
      <c r="M8" s="8">
        <f t="shared" si="1"/>
        <v>6400</v>
      </c>
      <c r="N8" s="8">
        <f t="shared" si="1"/>
        <v>6400</v>
      </c>
      <c r="O8" s="8">
        <f t="shared" si="1"/>
        <v>6400</v>
      </c>
      <c r="P8" s="8">
        <f t="shared" si="1"/>
        <v>0</v>
      </c>
      <c r="Q8" s="8">
        <f t="shared" si="1"/>
        <v>0</v>
      </c>
      <c r="R8" s="9">
        <f t="shared" si="2"/>
        <v>64000</v>
      </c>
    </row>
    <row r="9" spans="1:18" x14ac:dyDescent="0.25">
      <c r="A9" s="4" t="str">
        <f>[1]Receitas_paideia_2026!I9</f>
        <v>LOGOS DE INDAIATUBA</v>
      </c>
      <c r="B9" s="5" t="str">
        <f>[1]Receitas_paideia_2026!J9</f>
        <v>Boleto</v>
      </c>
      <c r="C9" s="5">
        <f>IF(B9="Eskolare",12,IF(B9="Boleto",[1]Receitas_paideia_2026!K9,0))</f>
        <v>4</v>
      </c>
      <c r="D9" s="6">
        <f>[1]Receitas_paideia_2026!T9</f>
        <v>39000</v>
      </c>
      <c r="E9" s="7">
        <f t="shared" si="0"/>
        <v>46023</v>
      </c>
      <c r="F9" s="8">
        <f t="shared" si="1"/>
        <v>9750</v>
      </c>
      <c r="G9" s="8">
        <f t="shared" si="1"/>
        <v>9750</v>
      </c>
      <c r="H9" s="8">
        <f t="shared" si="1"/>
        <v>9750</v>
      </c>
      <c r="I9" s="8">
        <f t="shared" si="1"/>
        <v>9750</v>
      </c>
      <c r="J9" s="8">
        <f t="shared" si="1"/>
        <v>0</v>
      </c>
      <c r="K9" s="8">
        <f t="shared" si="1"/>
        <v>0</v>
      </c>
      <c r="L9" s="8">
        <f t="shared" si="1"/>
        <v>0</v>
      </c>
      <c r="M9" s="8">
        <f t="shared" si="1"/>
        <v>0</v>
      </c>
      <c r="N9" s="8">
        <f t="shared" si="1"/>
        <v>0</v>
      </c>
      <c r="O9" s="8">
        <f t="shared" si="1"/>
        <v>0</v>
      </c>
      <c r="P9" s="8">
        <f t="shared" si="1"/>
        <v>0</v>
      </c>
      <c r="Q9" s="8">
        <f t="shared" si="1"/>
        <v>0</v>
      </c>
      <c r="R9" s="9">
        <f t="shared" si="2"/>
        <v>39000</v>
      </c>
    </row>
    <row r="10" spans="1:18" x14ac:dyDescent="0.25">
      <c r="A10" s="4" t="str">
        <f>[1]Receitas_paideia_2026!I10</f>
        <v>CRISTÃ SUDOESTE</v>
      </c>
      <c r="B10" s="5" t="str">
        <f>[1]Receitas_paideia_2026!J10</f>
        <v>Eskolare</v>
      </c>
      <c r="C10" s="5">
        <f>IF(B10="Eskolare",12,IF(B10="Boleto",[1]Receitas_paideia_2026!K10,0))</f>
        <v>12</v>
      </c>
      <c r="D10" s="6">
        <f>[1]Receitas_paideia_2026!T10</f>
        <v>59000</v>
      </c>
      <c r="E10" s="7">
        <f t="shared" si="0"/>
        <v>46023</v>
      </c>
      <c r="F10" s="8">
        <f t="shared" si="1"/>
        <v>4916.666666666667</v>
      </c>
      <c r="G10" s="8">
        <f t="shared" si="1"/>
        <v>4916.666666666667</v>
      </c>
      <c r="H10" s="8">
        <f t="shared" si="1"/>
        <v>4916.666666666667</v>
      </c>
      <c r="I10" s="8">
        <f t="shared" si="1"/>
        <v>4916.666666666667</v>
      </c>
      <c r="J10" s="8">
        <f t="shared" si="1"/>
        <v>4916.666666666667</v>
      </c>
      <c r="K10" s="8">
        <f t="shared" si="1"/>
        <v>4916.666666666667</v>
      </c>
      <c r="L10" s="8">
        <f t="shared" si="1"/>
        <v>4916.666666666667</v>
      </c>
      <c r="M10" s="8">
        <f t="shared" si="1"/>
        <v>4916.666666666667</v>
      </c>
      <c r="N10" s="8">
        <f t="shared" si="1"/>
        <v>4916.666666666667</v>
      </c>
      <c r="O10" s="8">
        <f t="shared" si="1"/>
        <v>4916.666666666667</v>
      </c>
      <c r="P10" s="8">
        <f t="shared" si="1"/>
        <v>4916.666666666667</v>
      </c>
      <c r="Q10" s="8">
        <f t="shared" si="1"/>
        <v>4916.666666666667</v>
      </c>
      <c r="R10" s="9">
        <f t="shared" si="2"/>
        <v>58999.999999999993</v>
      </c>
    </row>
    <row r="11" spans="1:18" x14ac:dyDescent="0.25">
      <c r="A11" s="4" t="str">
        <f>[1]Receitas_paideia_2026!I11</f>
        <v>CAPIM KIDS</v>
      </c>
      <c r="B11" s="5" t="str">
        <f>[1]Receitas_paideia_2026!J11</f>
        <v>-</v>
      </c>
      <c r="C11" s="5">
        <f>IF(B11="Eskolare",12,IF(B11="Boleto",[1]Receitas_paideia_2026!K11,0))</f>
        <v>0</v>
      </c>
      <c r="D11" s="6">
        <f>[1]Receitas_paideia_2026!T11</f>
        <v>0</v>
      </c>
      <c r="E11" s="7">
        <f t="shared" si="0"/>
        <v>46023</v>
      </c>
      <c r="F11" s="8">
        <f t="shared" si="1"/>
        <v>0</v>
      </c>
      <c r="G11" s="8">
        <f t="shared" si="1"/>
        <v>0</v>
      </c>
      <c r="H11" s="8">
        <f t="shared" si="1"/>
        <v>0</v>
      </c>
      <c r="I11" s="8">
        <f t="shared" si="1"/>
        <v>0</v>
      </c>
      <c r="J11" s="8">
        <f t="shared" si="1"/>
        <v>0</v>
      </c>
      <c r="K11" s="8">
        <f t="shared" si="1"/>
        <v>0</v>
      </c>
      <c r="L11" s="8">
        <f t="shared" si="1"/>
        <v>0</v>
      </c>
      <c r="M11" s="8">
        <f t="shared" si="1"/>
        <v>0</v>
      </c>
      <c r="N11" s="8">
        <f t="shared" si="1"/>
        <v>0</v>
      </c>
      <c r="O11" s="8">
        <f t="shared" si="1"/>
        <v>0</v>
      </c>
      <c r="P11" s="8">
        <f t="shared" si="1"/>
        <v>0</v>
      </c>
      <c r="Q11" s="8">
        <f t="shared" si="1"/>
        <v>0</v>
      </c>
      <c r="R11" s="9">
        <f t="shared" si="2"/>
        <v>0</v>
      </c>
    </row>
    <row r="12" spans="1:18" x14ac:dyDescent="0.25">
      <c r="A12" s="4" t="str">
        <f>[1]Receitas_paideia_2026!I12</f>
        <v>ACBV - Academia Cristã de Boa Vista</v>
      </c>
      <c r="B12" s="5" t="str">
        <f>[1]Receitas_paideia_2026!J12</f>
        <v>Eskolare</v>
      </c>
      <c r="C12" s="5">
        <f>IF(B12="Eskolare",12,IF(B12="Boleto",[1]Receitas_paideia_2026!K12,0))</f>
        <v>12</v>
      </c>
      <c r="D12" s="6">
        <f>[1]Receitas_paideia_2026!T12</f>
        <v>139000</v>
      </c>
      <c r="E12" s="7">
        <f t="shared" si="0"/>
        <v>46023</v>
      </c>
      <c r="F12" s="8">
        <f t="shared" si="1"/>
        <v>11583.333333333334</v>
      </c>
      <c r="G12" s="8">
        <f t="shared" si="1"/>
        <v>11583.333333333334</v>
      </c>
      <c r="H12" s="8">
        <f t="shared" si="1"/>
        <v>11583.333333333334</v>
      </c>
      <c r="I12" s="8">
        <f t="shared" si="1"/>
        <v>11583.333333333334</v>
      </c>
      <c r="J12" s="8">
        <f t="shared" si="1"/>
        <v>11583.333333333334</v>
      </c>
      <c r="K12" s="8">
        <f t="shared" si="1"/>
        <v>11583.333333333334</v>
      </c>
      <c r="L12" s="8">
        <f t="shared" si="1"/>
        <v>11583.333333333334</v>
      </c>
      <c r="M12" s="8">
        <f t="shared" si="1"/>
        <v>11583.333333333334</v>
      </c>
      <c r="N12" s="8">
        <f t="shared" si="1"/>
        <v>11583.333333333334</v>
      </c>
      <c r="O12" s="8">
        <f t="shared" si="1"/>
        <v>11583.333333333334</v>
      </c>
      <c r="P12" s="8">
        <f t="shared" si="1"/>
        <v>11583.333333333334</v>
      </c>
      <c r="Q12" s="8">
        <f t="shared" si="1"/>
        <v>11583.333333333334</v>
      </c>
      <c r="R12" s="9">
        <f t="shared" si="2"/>
        <v>138999.99999999997</v>
      </c>
    </row>
    <row r="13" spans="1:18" x14ac:dyDescent="0.25">
      <c r="A13" s="4" t="str">
        <f>[1]Receitas_paideia_2026!I13</f>
        <v>TRINUM</v>
      </c>
      <c r="B13" s="5" t="str">
        <f>[1]Receitas_paideia_2026!J13</f>
        <v>Eskolare</v>
      </c>
      <c r="C13" s="5">
        <f>IF(B13="Eskolare",12,IF(B13="Boleto",[1]Receitas_paideia_2026!K13,0))</f>
        <v>12</v>
      </c>
      <c r="D13" s="6">
        <f>[1]Receitas_paideia_2026!T13</f>
        <v>189000</v>
      </c>
      <c r="E13" s="7">
        <f t="shared" si="0"/>
        <v>46023</v>
      </c>
      <c r="F13" s="8">
        <f t="shared" si="1"/>
        <v>15750</v>
      </c>
      <c r="G13" s="8">
        <f t="shared" si="1"/>
        <v>15750</v>
      </c>
      <c r="H13" s="8">
        <f t="shared" si="1"/>
        <v>15750</v>
      </c>
      <c r="I13" s="8">
        <f t="shared" si="1"/>
        <v>15750</v>
      </c>
      <c r="J13" s="8">
        <f t="shared" si="1"/>
        <v>15750</v>
      </c>
      <c r="K13" s="8">
        <f t="shared" si="1"/>
        <v>15750</v>
      </c>
      <c r="L13" s="8">
        <f t="shared" si="1"/>
        <v>15750</v>
      </c>
      <c r="M13" s="8">
        <f t="shared" si="1"/>
        <v>15750</v>
      </c>
      <c r="N13" s="8">
        <f t="shared" si="1"/>
        <v>15750</v>
      </c>
      <c r="O13" s="8">
        <f t="shared" si="1"/>
        <v>15750</v>
      </c>
      <c r="P13" s="8">
        <f t="shared" si="1"/>
        <v>15750</v>
      </c>
      <c r="Q13" s="8">
        <f t="shared" si="1"/>
        <v>15750</v>
      </c>
      <c r="R13" s="9">
        <f t="shared" si="2"/>
        <v>189000</v>
      </c>
    </row>
    <row r="14" spans="1:18" x14ac:dyDescent="0.25">
      <c r="A14" s="4" t="str">
        <f>[1]Receitas_paideia_2026!I14</f>
        <v>IBEC</v>
      </c>
      <c r="B14" s="5" t="str">
        <f>[1]Receitas_paideia_2026!J14</f>
        <v>Eskolare</v>
      </c>
      <c r="C14" s="5">
        <f>IF(B14="Eskolare",12,IF(B14="Boleto",[1]Receitas_paideia_2026!K14,0))</f>
        <v>12</v>
      </c>
      <c r="D14" s="6">
        <f>[1]Receitas_paideia_2026!T14</f>
        <v>41548</v>
      </c>
      <c r="E14" s="7">
        <f t="shared" si="0"/>
        <v>46023</v>
      </c>
      <c r="F14" s="8">
        <f t="shared" si="1"/>
        <v>3462.3333333333335</v>
      </c>
      <c r="G14" s="8">
        <f t="shared" si="1"/>
        <v>3462.3333333333335</v>
      </c>
      <c r="H14" s="8">
        <f t="shared" si="1"/>
        <v>3462.3333333333335</v>
      </c>
      <c r="I14" s="8">
        <f t="shared" si="1"/>
        <v>3462.3333333333335</v>
      </c>
      <c r="J14" s="8">
        <f t="shared" si="1"/>
        <v>3462.3333333333335</v>
      </c>
      <c r="K14" s="8">
        <f t="shared" si="1"/>
        <v>3462.3333333333335</v>
      </c>
      <c r="L14" s="8">
        <f t="shared" si="1"/>
        <v>3462.3333333333335</v>
      </c>
      <c r="M14" s="8">
        <f t="shared" si="1"/>
        <v>3462.3333333333335</v>
      </c>
      <c r="N14" s="8">
        <f t="shared" si="1"/>
        <v>3462.3333333333335</v>
      </c>
      <c r="O14" s="8">
        <f t="shared" si="1"/>
        <v>3462.3333333333335</v>
      </c>
      <c r="P14" s="8">
        <f t="shared" si="1"/>
        <v>3462.3333333333335</v>
      </c>
      <c r="Q14" s="8">
        <f t="shared" si="1"/>
        <v>3462.3333333333335</v>
      </c>
      <c r="R14" s="9">
        <f t="shared" si="2"/>
        <v>41548</v>
      </c>
    </row>
    <row r="15" spans="1:18" x14ac:dyDescent="0.25">
      <c r="A15" s="4" t="str">
        <f>[1]Receitas_paideia_2026!I15</f>
        <v>INSTITUTO EDUCACIONAL EXCELÊNCIA</v>
      </c>
      <c r="B15" s="5" t="str">
        <f>[1]Receitas_paideia_2026!J15</f>
        <v>Eskolare</v>
      </c>
      <c r="C15" s="5">
        <f>IF(B15="Eskolare",12,IF(B15="Boleto",[1]Receitas_paideia_2026!K15,0))</f>
        <v>12</v>
      </c>
      <c r="D15" s="6">
        <f>[1]Receitas_paideia_2026!T15</f>
        <v>48000</v>
      </c>
      <c r="E15" s="7">
        <f t="shared" si="0"/>
        <v>46023</v>
      </c>
      <c r="F15" s="8">
        <f t="shared" si="1"/>
        <v>4000</v>
      </c>
      <c r="G15" s="8">
        <f t="shared" si="1"/>
        <v>4000</v>
      </c>
      <c r="H15" s="8">
        <f t="shared" si="1"/>
        <v>4000</v>
      </c>
      <c r="I15" s="8">
        <f t="shared" si="1"/>
        <v>4000</v>
      </c>
      <c r="J15" s="8">
        <f t="shared" si="1"/>
        <v>4000</v>
      </c>
      <c r="K15" s="8">
        <f t="shared" si="1"/>
        <v>4000</v>
      </c>
      <c r="L15" s="8">
        <f t="shared" si="1"/>
        <v>4000</v>
      </c>
      <c r="M15" s="8">
        <f t="shared" si="1"/>
        <v>4000</v>
      </c>
      <c r="N15" s="8">
        <f t="shared" si="1"/>
        <v>4000</v>
      </c>
      <c r="O15" s="8">
        <f t="shared" si="1"/>
        <v>4000</v>
      </c>
      <c r="P15" s="8">
        <f t="shared" si="1"/>
        <v>4000</v>
      </c>
      <c r="Q15" s="8">
        <f t="shared" si="1"/>
        <v>4000</v>
      </c>
      <c r="R15" s="9">
        <f t="shared" si="2"/>
        <v>48000</v>
      </c>
    </row>
    <row r="16" spans="1:18" x14ac:dyDescent="0.25">
      <c r="A16" s="4" t="str">
        <f>[1]Receitas_paideia_2026!I16</f>
        <v>MOREH CHRISTIAN CENTER</v>
      </c>
      <c r="B16" s="5" t="str">
        <f>[1]Receitas_paideia_2026!J16</f>
        <v>Boleto</v>
      </c>
      <c r="C16" s="5">
        <f>IF(B16="Eskolare",12,IF(B16="Boleto",[1]Receitas_paideia_2026!K16,0))</f>
        <v>6</v>
      </c>
      <c r="D16" s="6">
        <f>[1]Receitas_paideia_2026!T16</f>
        <v>30000</v>
      </c>
      <c r="E16" s="7">
        <f t="shared" si="0"/>
        <v>46023</v>
      </c>
      <c r="F16" s="8">
        <f t="shared" si="1"/>
        <v>5000</v>
      </c>
      <c r="G16" s="8">
        <f t="shared" si="1"/>
        <v>5000</v>
      </c>
      <c r="H16" s="8">
        <f t="shared" si="1"/>
        <v>5000</v>
      </c>
      <c r="I16" s="8">
        <f t="shared" si="1"/>
        <v>5000</v>
      </c>
      <c r="J16" s="8">
        <f t="shared" si="1"/>
        <v>5000</v>
      </c>
      <c r="K16" s="8">
        <f t="shared" si="1"/>
        <v>5000</v>
      </c>
      <c r="L16" s="8">
        <f t="shared" si="1"/>
        <v>0</v>
      </c>
      <c r="M16" s="8">
        <f t="shared" si="1"/>
        <v>0</v>
      </c>
      <c r="N16" s="8">
        <f t="shared" si="1"/>
        <v>0</v>
      </c>
      <c r="O16" s="8">
        <f t="shared" si="1"/>
        <v>0</v>
      </c>
      <c r="P16" s="8">
        <f t="shared" si="1"/>
        <v>0</v>
      </c>
      <c r="Q16" s="8">
        <f t="shared" si="1"/>
        <v>0</v>
      </c>
      <c r="R16" s="9">
        <f t="shared" si="2"/>
        <v>30000</v>
      </c>
    </row>
    <row r="17" spans="1:18" x14ac:dyDescent="0.25">
      <c r="A17" s="4" t="str">
        <f>[1]Receitas_paideia_2026!I17</f>
        <v>LIRIO DOS VALES</v>
      </c>
      <c r="B17" s="5" t="str">
        <f>[1]Receitas_paideia_2026!J17</f>
        <v>Boleto</v>
      </c>
      <c r="C17" s="5">
        <f>IF(B17="Eskolare",12,IF(B17="Boleto",[1]Receitas_paideia_2026!K17,0))</f>
        <v>4</v>
      </c>
      <c r="D17" s="6">
        <f>[1]Receitas_paideia_2026!T17</f>
        <v>62000</v>
      </c>
      <c r="E17" s="7">
        <f t="shared" si="0"/>
        <v>46023</v>
      </c>
      <c r="F17" s="8">
        <f t="shared" si="1"/>
        <v>15500</v>
      </c>
      <c r="G17" s="8">
        <f t="shared" si="1"/>
        <v>15500</v>
      </c>
      <c r="H17" s="8">
        <f t="shared" si="1"/>
        <v>15500</v>
      </c>
      <c r="I17" s="8">
        <f t="shared" si="1"/>
        <v>15500</v>
      </c>
      <c r="J17" s="8">
        <f t="shared" si="1"/>
        <v>0</v>
      </c>
      <c r="K17" s="8">
        <f t="shared" si="1"/>
        <v>0</v>
      </c>
      <c r="L17" s="8">
        <f t="shared" si="1"/>
        <v>0</v>
      </c>
      <c r="M17" s="8">
        <f t="shared" si="1"/>
        <v>0</v>
      </c>
      <c r="N17" s="8">
        <f t="shared" si="1"/>
        <v>0</v>
      </c>
      <c r="O17" s="8">
        <f t="shared" si="1"/>
        <v>0</v>
      </c>
      <c r="P17" s="8">
        <f t="shared" si="1"/>
        <v>0</v>
      </c>
      <c r="Q17" s="8">
        <f t="shared" si="1"/>
        <v>0</v>
      </c>
      <c r="R17" s="9">
        <f t="shared" si="2"/>
        <v>62000</v>
      </c>
    </row>
    <row r="18" spans="1:18" x14ac:dyDescent="0.25">
      <c r="A18" s="4" t="str">
        <f>[1]Receitas_paideia_2026!I18</f>
        <v>CORAM DEO</v>
      </c>
      <c r="B18" s="5" t="str">
        <f>[1]Receitas_paideia_2026!J18</f>
        <v>Boleto</v>
      </c>
      <c r="C18" s="5">
        <f>IF(B18="Eskolare",12,IF(B18="Boleto",[1]Receitas_paideia_2026!K18,0))</f>
        <v>4</v>
      </c>
      <c r="D18" s="6">
        <f>[1]Receitas_paideia_2026!T18</f>
        <v>48600</v>
      </c>
      <c r="E18" s="7">
        <f t="shared" si="0"/>
        <v>46023</v>
      </c>
      <c r="F18" s="8">
        <f t="shared" ref="F18:Q26" si="3">IF($C18=0,0,IF(DATEDIF($E18,F$1,"m")&lt;$C18,$D18/$C18,0))</f>
        <v>12150</v>
      </c>
      <c r="G18" s="8">
        <f t="shared" si="3"/>
        <v>12150</v>
      </c>
      <c r="H18" s="8">
        <f t="shared" si="3"/>
        <v>12150</v>
      </c>
      <c r="I18" s="8">
        <f t="shared" si="3"/>
        <v>12150</v>
      </c>
      <c r="J18" s="8">
        <f t="shared" si="3"/>
        <v>0</v>
      </c>
      <c r="K18" s="8">
        <f t="shared" si="3"/>
        <v>0</v>
      </c>
      <c r="L18" s="8">
        <f t="shared" si="3"/>
        <v>0</v>
      </c>
      <c r="M18" s="8">
        <f t="shared" si="3"/>
        <v>0</v>
      </c>
      <c r="N18" s="8">
        <f t="shared" si="3"/>
        <v>0</v>
      </c>
      <c r="O18" s="8">
        <f t="shared" si="3"/>
        <v>0</v>
      </c>
      <c r="P18" s="8">
        <f t="shared" si="3"/>
        <v>0</v>
      </c>
      <c r="Q18" s="8">
        <f t="shared" si="3"/>
        <v>0</v>
      </c>
      <c r="R18" s="9">
        <f t="shared" si="2"/>
        <v>48600</v>
      </c>
    </row>
    <row r="19" spans="1:18" x14ac:dyDescent="0.25">
      <c r="A19" s="4" t="str">
        <f>[1]Receitas_paideia_2026!I19</f>
        <v>FAROL</v>
      </c>
      <c r="B19" s="5" t="str">
        <f>[1]Receitas_paideia_2026!J19</f>
        <v>Eskolare</v>
      </c>
      <c r="C19" s="5">
        <f>IF(B19="Eskolare",12,IF(B19="Boleto",[1]Receitas_paideia_2026!K19,0))</f>
        <v>12</v>
      </c>
      <c r="D19" s="6">
        <f>[1]Receitas_paideia_2026!T19</f>
        <v>63000</v>
      </c>
      <c r="E19" s="7">
        <f t="shared" si="0"/>
        <v>46023</v>
      </c>
      <c r="F19" s="8">
        <f t="shared" si="3"/>
        <v>5250</v>
      </c>
      <c r="G19" s="8">
        <f t="shared" si="3"/>
        <v>5250</v>
      </c>
      <c r="H19" s="8">
        <f t="shared" si="3"/>
        <v>5250</v>
      </c>
      <c r="I19" s="8">
        <f t="shared" si="3"/>
        <v>5250</v>
      </c>
      <c r="J19" s="8">
        <f t="shared" si="3"/>
        <v>5250</v>
      </c>
      <c r="K19" s="8">
        <f t="shared" si="3"/>
        <v>5250</v>
      </c>
      <c r="L19" s="8">
        <f t="shared" si="3"/>
        <v>5250</v>
      </c>
      <c r="M19" s="8">
        <f t="shared" si="3"/>
        <v>5250</v>
      </c>
      <c r="N19" s="8">
        <f t="shared" si="3"/>
        <v>5250</v>
      </c>
      <c r="O19" s="8">
        <f t="shared" si="3"/>
        <v>5250</v>
      </c>
      <c r="P19" s="8">
        <f t="shared" si="3"/>
        <v>5250</v>
      </c>
      <c r="Q19" s="8">
        <f t="shared" si="3"/>
        <v>5250</v>
      </c>
      <c r="R19" s="9">
        <f t="shared" si="2"/>
        <v>63000</v>
      </c>
    </row>
    <row r="20" spans="1:18" x14ac:dyDescent="0.25">
      <c r="A20" s="4" t="str">
        <f>[1]Receitas_paideia_2026!I20</f>
        <v>ZOE</v>
      </c>
      <c r="B20" s="5" t="str">
        <f>[1]Receitas_paideia_2026!J20</f>
        <v>Eskolare</v>
      </c>
      <c r="C20" s="5">
        <f>IF(B20="Eskolare",12,IF(B20="Boleto",[1]Receitas_paideia_2026!K20,0))</f>
        <v>12</v>
      </c>
      <c r="D20" s="6">
        <f>[1]Receitas_paideia_2026!T20</f>
        <v>134400</v>
      </c>
      <c r="E20" s="7">
        <f t="shared" si="0"/>
        <v>46023</v>
      </c>
      <c r="F20" s="8">
        <f t="shared" si="3"/>
        <v>11200</v>
      </c>
      <c r="G20" s="8">
        <f t="shared" si="3"/>
        <v>11200</v>
      </c>
      <c r="H20" s="8">
        <f t="shared" si="3"/>
        <v>11200</v>
      </c>
      <c r="I20" s="8">
        <f t="shared" si="3"/>
        <v>11200</v>
      </c>
      <c r="J20" s="8">
        <f t="shared" si="3"/>
        <v>11200</v>
      </c>
      <c r="K20" s="8">
        <f t="shared" si="3"/>
        <v>11200</v>
      </c>
      <c r="L20" s="8">
        <f t="shared" si="3"/>
        <v>11200</v>
      </c>
      <c r="M20" s="8">
        <f t="shared" si="3"/>
        <v>11200</v>
      </c>
      <c r="N20" s="8">
        <f t="shared" si="3"/>
        <v>11200</v>
      </c>
      <c r="O20" s="8">
        <f t="shared" si="3"/>
        <v>11200</v>
      </c>
      <c r="P20" s="8">
        <f t="shared" si="3"/>
        <v>11200</v>
      </c>
      <c r="Q20" s="8">
        <f t="shared" si="3"/>
        <v>11200</v>
      </c>
      <c r="R20" s="9">
        <f t="shared" si="2"/>
        <v>134400</v>
      </c>
    </row>
    <row r="21" spans="1:18" x14ac:dyDescent="0.25">
      <c r="A21" s="4" t="str">
        <f>[1]Receitas_paideia_2026!I21</f>
        <v>BATISTA FLUMINENSE</v>
      </c>
      <c r="B21" s="5" t="str">
        <f>[1]Receitas_paideia_2026!J21</f>
        <v>Eskolare</v>
      </c>
      <c r="C21" s="5">
        <f>IF(B21="Eskolare",12,IF(B21="Boleto",[1]Receitas_paideia_2026!K21,0))</f>
        <v>12</v>
      </c>
      <c r="D21" s="6">
        <f>[1]Receitas_paideia_2026!T21</f>
        <v>145000</v>
      </c>
      <c r="E21" s="7">
        <f t="shared" si="0"/>
        <v>46023</v>
      </c>
      <c r="F21" s="8">
        <f t="shared" si="3"/>
        <v>12083.333333333334</v>
      </c>
      <c r="G21" s="8">
        <f t="shared" si="3"/>
        <v>12083.333333333334</v>
      </c>
      <c r="H21" s="8">
        <f t="shared" si="3"/>
        <v>12083.333333333334</v>
      </c>
      <c r="I21" s="8">
        <f t="shared" si="3"/>
        <v>12083.333333333334</v>
      </c>
      <c r="J21" s="8">
        <f t="shared" si="3"/>
        <v>12083.333333333334</v>
      </c>
      <c r="K21" s="8">
        <f t="shared" si="3"/>
        <v>12083.333333333334</v>
      </c>
      <c r="L21" s="8">
        <f t="shared" si="3"/>
        <v>12083.333333333334</v>
      </c>
      <c r="M21" s="8">
        <f t="shared" si="3"/>
        <v>12083.333333333334</v>
      </c>
      <c r="N21" s="8">
        <f t="shared" si="3"/>
        <v>12083.333333333334</v>
      </c>
      <c r="O21" s="8">
        <f t="shared" si="3"/>
        <v>12083.333333333334</v>
      </c>
      <c r="P21" s="8">
        <f t="shared" si="3"/>
        <v>12083.333333333334</v>
      </c>
      <c r="Q21" s="8">
        <f t="shared" si="3"/>
        <v>12083.333333333334</v>
      </c>
      <c r="R21" s="9">
        <f t="shared" si="2"/>
        <v>145000</v>
      </c>
    </row>
    <row r="22" spans="1:18" x14ac:dyDescent="0.25">
      <c r="A22" s="4" t="str">
        <f>[1]Receitas_paideia_2026!I22</f>
        <v>LUZ</v>
      </c>
      <c r="B22" s="5" t="str">
        <f>[1]Receitas_paideia_2026!J22</f>
        <v>Boleto</v>
      </c>
      <c r="C22" s="5">
        <f>IF(B22="Eskolare",12,IF(B22="Boleto",[1]Receitas_paideia_2026!K22,0))</f>
        <v>5</v>
      </c>
      <c r="D22" s="6">
        <f>[1]Receitas_paideia_2026!T22</f>
        <v>26400</v>
      </c>
      <c r="E22" s="7">
        <f t="shared" si="0"/>
        <v>46023</v>
      </c>
      <c r="F22" s="8">
        <f t="shared" si="3"/>
        <v>5280</v>
      </c>
      <c r="G22" s="8">
        <f t="shared" si="3"/>
        <v>5280</v>
      </c>
      <c r="H22" s="8">
        <f t="shared" si="3"/>
        <v>5280</v>
      </c>
      <c r="I22" s="8">
        <f t="shared" si="3"/>
        <v>5280</v>
      </c>
      <c r="J22" s="8">
        <f t="shared" si="3"/>
        <v>5280</v>
      </c>
      <c r="K22" s="8">
        <f t="shared" si="3"/>
        <v>0</v>
      </c>
      <c r="L22" s="8">
        <f t="shared" si="3"/>
        <v>0</v>
      </c>
      <c r="M22" s="8">
        <f t="shared" si="3"/>
        <v>0</v>
      </c>
      <c r="N22" s="8">
        <f t="shared" si="3"/>
        <v>0</v>
      </c>
      <c r="O22" s="8">
        <f t="shared" si="3"/>
        <v>0</v>
      </c>
      <c r="P22" s="8">
        <f t="shared" si="3"/>
        <v>0</v>
      </c>
      <c r="Q22" s="8">
        <f t="shared" si="3"/>
        <v>0</v>
      </c>
      <c r="R22" s="9">
        <f t="shared" si="2"/>
        <v>26400</v>
      </c>
    </row>
    <row r="23" spans="1:18" x14ac:dyDescent="0.25">
      <c r="A23" s="4" t="str">
        <f>[1]Receitas_paideia_2026!I23</f>
        <v>LAMAD</v>
      </c>
      <c r="B23" s="5" t="str">
        <f>[1]Receitas_paideia_2026!J23</f>
        <v>Boleto</v>
      </c>
      <c r="C23" s="5">
        <f>IF(B23="Eskolare",12,IF(B23="Boleto",[1]Receitas_paideia_2026!K23,0))</f>
        <v>8</v>
      </c>
      <c r="D23" s="6">
        <f>[1]Receitas_paideia_2026!T23</f>
        <v>56200</v>
      </c>
      <c r="E23" s="7">
        <f t="shared" si="0"/>
        <v>46023</v>
      </c>
      <c r="F23" s="8">
        <f t="shared" si="3"/>
        <v>7025</v>
      </c>
      <c r="G23" s="8">
        <f t="shared" si="3"/>
        <v>7025</v>
      </c>
      <c r="H23" s="8">
        <f t="shared" si="3"/>
        <v>7025</v>
      </c>
      <c r="I23" s="8">
        <f t="shared" si="3"/>
        <v>7025</v>
      </c>
      <c r="J23" s="8">
        <f t="shared" si="3"/>
        <v>7025</v>
      </c>
      <c r="K23" s="8">
        <f t="shared" si="3"/>
        <v>7025</v>
      </c>
      <c r="L23" s="8">
        <f t="shared" si="3"/>
        <v>7025</v>
      </c>
      <c r="M23" s="8">
        <f t="shared" si="3"/>
        <v>7025</v>
      </c>
      <c r="N23" s="8">
        <f t="shared" si="3"/>
        <v>0</v>
      </c>
      <c r="O23" s="8">
        <f t="shared" si="3"/>
        <v>0</v>
      </c>
      <c r="P23" s="8">
        <f t="shared" si="3"/>
        <v>0</v>
      </c>
      <c r="Q23" s="8">
        <f t="shared" si="3"/>
        <v>0</v>
      </c>
      <c r="R23" s="9">
        <f t="shared" si="2"/>
        <v>56200</v>
      </c>
    </row>
    <row r="24" spans="1:18" x14ac:dyDescent="0.25">
      <c r="A24" s="4" t="str">
        <f>[1]Receitas_paideia_2026!I24</f>
        <v>FLORESCER</v>
      </c>
      <c r="B24" s="5" t="str">
        <f>[1]Receitas_paideia_2026!J24</f>
        <v>Boleto</v>
      </c>
      <c r="C24" s="5">
        <f>IF(B24="Eskolare",12,IF(B24="Boleto",[1]Receitas_paideia_2026!K24,0))</f>
        <v>12</v>
      </c>
      <c r="D24" s="6">
        <f>[1]Receitas_paideia_2026!T24</f>
        <v>57000</v>
      </c>
      <c r="E24" s="7">
        <f t="shared" si="0"/>
        <v>46023</v>
      </c>
      <c r="F24" s="8">
        <f t="shared" si="3"/>
        <v>4750</v>
      </c>
      <c r="G24" s="8">
        <f t="shared" si="3"/>
        <v>4750</v>
      </c>
      <c r="H24" s="8">
        <f t="shared" si="3"/>
        <v>4750</v>
      </c>
      <c r="I24" s="8">
        <f t="shared" si="3"/>
        <v>4750</v>
      </c>
      <c r="J24" s="8">
        <f t="shared" si="3"/>
        <v>4750</v>
      </c>
      <c r="K24" s="8">
        <f t="shared" si="3"/>
        <v>4750</v>
      </c>
      <c r="L24" s="8">
        <f t="shared" si="3"/>
        <v>4750</v>
      </c>
      <c r="M24" s="8">
        <f t="shared" si="3"/>
        <v>4750</v>
      </c>
      <c r="N24" s="8">
        <f t="shared" si="3"/>
        <v>4750</v>
      </c>
      <c r="O24" s="8">
        <f t="shared" si="3"/>
        <v>4750</v>
      </c>
      <c r="P24" s="8">
        <f t="shared" si="3"/>
        <v>4750</v>
      </c>
      <c r="Q24" s="8">
        <f t="shared" si="3"/>
        <v>4750</v>
      </c>
      <c r="R24" s="9">
        <f t="shared" si="2"/>
        <v>57000</v>
      </c>
    </row>
    <row r="25" spans="1:18" x14ac:dyDescent="0.25">
      <c r="A25" s="4" t="str">
        <f>[1]Receitas_paideia_2026!I25</f>
        <v>GAUSS</v>
      </c>
      <c r="B25" s="5" t="str">
        <f>[1]Receitas_paideia_2026!J25</f>
        <v>Boleto</v>
      </c>
      <c r="C25" s="5">
        <f>IF(B25="Eskolare",12,IF(B25="Boleto",[1]Receitas_paideia_2026!K25,0))</f>
        <v>12</v>
      </c>
      <c r="D25" s="6">
        <f>[1]Receitas_paideia_2026!T25</f>
        <v>225000</v>
      </c>
      <c r="E25" s="7">
        <f t="shared" si="0"/>
        <v>46023</v>
      </c>
      <c r="F25" s="8">
        <f t="shared" si="3"/>
        <v>18750</v>
      </c>
      <c r="G25" s="8">
        <f t="shared" si="3"/>
        <v>18750</v>
      </c>
      <c r="H25" s="8">
        <f t="shared" si="3"/>
        <v>18750</v>
      </c>
      <c r="I25" s="8">
        <f t="shared" si="3"/>
        <v>18750</v>
      </c>
      <c r="J25" s="8">
        <f t="shared" si="3"/>
        <v>18750</v>
      </c>
      <c r="K25" s="8">
        <f t="shared" si="3"/>
        <v>18750</v>
      </c>
      <c r="L25" s="8">
        <f t="shared" si="3"/>
        <v>18750</v>
      </c>
      <c r="M25" s="8">
        <f t="shared" si="3"/>
        <v>18750</v>
      </c>
      <c r="N25" s="8">
        <f t="shared" si="3"/>
        <v>18750</v>
      </c>
      <c r="O25" s="8">
        <f t="shared" si="3"/>
        <v>18750</v>
      </c>
      <c r="P25" s="8">
        <f t="shared" si="3"/>
        <v>18750</v>
      </c>
      <c r="Q25" s="8">
        <f t="shared" si="3"/>
        <v>18750</v>
      </c>
      <c r="R25" s="9">
        <f t="shared" si="2"/>
        <v>225000</v>
      </c>
    </row>
    <row r="26" spans="1:18" x14ac:dyDescent="0.25">
      <c r="A26" s="4" t="str">
        <f>[1]Receitas_paideia_2026!I26</f>
        <v>CIDADE VIVA ACADEMY</v>
      </c>
      <c r="B26" s="5" t="str">
        <f>[1]Receitas_paideia_2026!J26</f>
        <v>Boleto</v>
      </c>
      <c r="C26" s="5">
        <f>IF(B26="Eskolare",12,IF(B26="Boleto",[1]Receitas_paideia_2026!K26,0))</f>
        <v>10</v>
      </c>
      <c r="D26" s="6">
        <f>[1]Receitas_paideia_2026!T26</f>
        <v>247000</v>
      </c>
      <c r="E26" s="7">
        <f t="shared" si="0"/>
        <v>46023</v>
      </c>
      <c r="F26" s="8">
        <f t="shared" si="3"/>
        <v>24700</v>
      </c>
      <c r="G26" s="8">
        <f t="shared" si="3"/>
        <v>24700</v>
      </c>
      <c r="H26" s="8">
        <f t="shared" si="3"/>
        <v>24700</v>
      </c>
      <c r="I26" s="8">
        <f t="shared" si="3"/>
        <v>24700</v>
      </c>
      <c r="J26" s="8">
        <f t="shared" si="3"/>
        <v>24700</v>
      </c>
      <c r="K26" s="8">
        <f t="shared" si="3"/>
        <v>24700</v>
      </c>
      <c r="L26" s="8">
        <f t="shared" si="3"/>
        <v>24700</v>
      </c>
      <c r="M26" s="8">
        <f t="shared" si="3"/>
        <v>24700</v>
      </c>
      <c r="N26" s="8">
        <f t="shared" si="3"/>
        <v>24700</v>
      </c>
      <c r="O26" s="8">
        <f t="shared" si="3"/>
        <v>24700</v>
      </c>
      <c r="P26" s="8">
        <f t="shared" si="3"/>
        <v>0</v>
      </c>
      <c r="Q26" s="8">
        <f t="shared" si="3"/>
        <v>0</v>
      </c>
      <c r="R26" s="9">
        <f t="shared" si="2"/>
        <v>247000</v>
      </c>
    </row>
    <row r="27" spans="1:18" x14ac:dyDescent="0.25">
      <c r="A27" s="10" t="s">
        <v>5</v>
      </c>
      <c r="B27" s="10">
        <f>[1]Receitas_paideia_2026!J27</f>
        <v>0</v>
      </c>
      <c r="C27" s="11"/>
      <c r="D27" s="11"/>
      <c r="E27" s="11"/>
      <c r="F27" s="11">
        <f t="shared" ref="F27:Q27" si="4">SUM(F2:F26)</f>
        <v>222947.06666666668</v>
      </c>
      <c r="G27" s="11">
        <f t="shared" si="4"/>
        <v>222947.06666666668</v>
      </c>
      <c r="H27" s="11">
        <f t="shared" si="4"/>
        <v>222947.06666666668</v>
      </c>
      <c r="I27" s="11">
        <f t="shared" si="4"/>
        <v>222947.06666666668</v>
      </c>
      <c r="J27" s="11">
        <f t="shared" si="4"/>
        <v>159797.06666666665</v>
      </c>
      <c r="K27" s="11">
        <f t="shared" si="4"/>
        <v>148645.66666666669</v>
      </c>
      <c r="L27" s="11">
        <f t="shared" si="4"/>
        <v>143645.66666666669</v>
      </c>
      <c r="M27" s="11">
        <f t="shared" si="4"/>
        <v>143645.66666666669</v>
      </c>
      <c r="N27" s="11">
        <f t="shared" si="4"/>
        <v>124245.66666666667</v>
      </c>
      <c r="O27" s="11">
        <f t="shared" si="4"/>
        <v>124245.66666666667</v>
      </c>
      <c r="P27" s="11">
        <f t="shared" si="4"/>
        <v>91745.666666666672</v>
      </c>
      <c r="Q27" s="11">
        <f t="shared" si="4"/>
        <v>91745.666666666672</v>
      </c>
      <c r="R27" s="9">
        <f t="shared" si="2"/>
        <v>1919505.0000000007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Assis</dc:creator>
  <cp:lastModifiedBy>renato Assis</cp:lastModifiedBy>
  <dcterms:created xsi:type="dcterms:W3CDTF">2026-02-13T11:55:57Z</dcterms:created>
  <dcterms:modified xsi:type="dcterms:W3CDTF">2026-02-13T11:56:29Z</dcterms:modified>
</cp:coreProperties>
</file>