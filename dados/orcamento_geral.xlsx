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to\Desktop\"/>
    </mc:Choice>
  </mc:AlternateContent>
  <xr:revisionPtr revIDLastSave="0" documentId="8_{06FB00CE-6266-4F5A-864E-8BC6224DEBA1}" xr6:coauthVersionLast="47" xr6:coauthVersionMax="47" xr10:uidLastSave="{00000000-0000-0000-0000-000000000000}"/>
  <bookViews>
    <workbookView xWindow="-24120" yWindow="-2040" windowWidth="24240" windowHeight="13020" xr2:uid="{78FD5E1A-0472-4138-8A66-E4ADAE922464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3" i="1" l="1"/>
  <c r="N382" i="1"/>
  <c r="N381" i="1"/>
  <c r="N380" i="1"/>
  <c r="N379" i="1"/>
  <c r="N378" i="1"/>
  <c r="N377" i="1"/>
  <c r="N376" i="1"/>
  <c r="N375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M373" i="1"/>
  <c r="L373" i="1"/>
  <c r="K373" i="1"/>
  <c r="J373" i="1"/>
  <c r="I373" i="1"/>
  <c r="H373" i="1"/>
  <c r="G373" i="1"/>
  <c r="F373" i="1"/>
  <c r="E373" i="1"/>
  <c r="M372" i="1"/>
  <c r="L372" i="1"/>
  <c r="K372" i="1"/>
  <c r="J372" i="1"/>
  <c r="J368" i="1" s="1"/>
  <c r="I372" i="1"/>
  <c r="H372" i="1"/>
  <c r="G372" i="1"/>
  <c r="G368" i="1" s="1"/>
  <c r="M371" i="1"/>
  <c r="L371" i="1"/>
  <c r="L368" i="1" s="1"/>
  <c r="K371" i="1"/>
  <c r="J371" i="1"/>
  <c r="I371" i="1"/>
  <c r="H371" i="1"/>
  <c r="G371" i="1"/>
  <c r="M370" i="1"/>
  <c r="M368" i="1" s="1"/>
  <c r="L370" i="1"/>
  <c r="K370" i="1"/>
  <c r="K368" i="1" s="1"/>
  <c r="J370" i="1"/>
  <c r="I370" i="1"/>
  <c r="H370" i="1"/>
  <c r="G370" i="1"/>
  <c r="F370" i="1"/>
  <c r="F368" i="1" s="1"/>
  <c r="E370" i="1"/>
  <c r="M369" i="1"/>
  <c r="L369" i="1"/>
  <c r="K369" i="1"/>
  <c r="J369" i="1"/>
  <c r="I369" i="1"/>
  <c r="H369" i="1"/>
  <c r="N369" i="1" s="1"/>
  <c r="I368" i="1"/>
  <c r="D368" i="1"/>
  <c r="C368" i="1"/>
  <c r="B368" i="1"/>
  <c r="N367" i="1"/>
  <c r="N366" i="1"/>
  <c r="N365" i="1"/>
  <c r="M364" i="1"/>
  <c r="L364" i="1"/>
  <c r="L314" i="1" s="1"/>
  <c r="K364" i="1"/>
  <c r="J364" i="1"/>
  <c r="I364" i="1"/>
  <c r="H364" i="1"/>
  <c r="H315" i="1" s="1"/>
  <c r="G364" i="1"/>
  <c r="F364" i="1"/>
  <c r="E364" i="1"/>
  <c r="D364" i="1"/>
  <c r="C364" i="1"/>
  <c r="C314" i="1" s="1"/>
  <c r="B364" i="1"/>
  <c r="N363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N361" i="1"/>
  <c r="M361" i="1"/>
  <c r="H361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L359" i="1"/>
  <c r="K359" i="1"/>
  <c r="K315" i="1" s="1"/>
  <c r="N358" i="1"/>
  <c r="L358" i="1"/>
  <c r="L357" i="1"/>
  <c r="N357" i="1" s="1"/>
  <c r="N356" i="1"/>
  <c r="L356" i="1"/>
  <c r="L355" i="1"/>
  <c r="N355" i="1" s="1"/>
  <c r="L354" i="1"/>
  <c r="N353" i="1"/>
  <c r="L353" i="1"/>
  <c r="N352" i="1"/>
  <c r="L352" i="1"/>
  <c r="M351" i="1"/>
  <c r="J351" i="1"/>
  <c r="I351" i="1"/>
  <c r="H351" i="1"/>
  <c r="G351" i="1"/>
  <c r="F351" i="1"/>
  <c r="E351" i="1"/>
  <c r="D351" i="1"/>
  <c r="C351" i="1"/>
  <c r="B351" i="1"/>
  <c r="K350" i="1"/>
  <c r="N350" i="1" s="1"/>
  <c r="N349" i="1"/>
  <c r="K349" i="1"/>
  <c r="K348" i="1"/>
  <c r="N348" i="1" s="1"/>
  <c r="K347" i="1"/>
  <c r="N347" i="1" s="1"/>
  <c r="N346" i="1"/>
  <c r="K346" i="1"/>
  <c r="N345" i="1"/>
  <c r="K345" i="1"/>
  <c r="K344" i="1"/>
  <c r="N343" i="1"/>
  <c r="K343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J341" i="1"/>
  <c r="N341" i="1" s="1"/>
  <c r="J340" i="1"/>
  <c r="N340" i="1" s="1"/>
  <c r="N339" i="1"/>
  <c r="J339" i="1"/>
  <c r="N338" i="1"/>
  <c r="J338" i="1"/>
  <c r="N337" i="1"/>
  <c r="J337" i="1"/>
  <c r="N336" i="1"/>
  <c r="J336" i="1"/>
  <c r="J335" i="1"/>
  <c r="N335" i="1" s="1"/>
  <c r="N334" i="1"/>
  <c r="J334" i="1"/>
  <c r="J314" i="1" s="1"/>
  <c r="M333" i="1"/>
  <c r="L333" i="1"/>
  <c r="K333" i="1"/>
  <c r="J333" i="1"/>
  <c r="I333" i="1"/>
  <c r="H333" i="1"/>
  <c r="G333" i="1"/>
  <c r="F333" i="1"/>
  <c r="E333" i="1"/>
  <c r="D333" i="1"/>
  <c r="C333" i="1"/>
  <c r="B333" i="1"/>
  <c r="N332" i="1"/>
  <c r="I332" i="1"/>
  <c r="N331" i="1"/>
  <c r="I331" i="1"/>
  <c r="I330" i="1"/>
  <c r="N330" i="1" s="1"/>
  <c r="N329" i="1"/>
  <c r="I329" i="1"/>
  <c r="I328" i="1"/>
  <c r="N328" i="1" s="1"/>
  <c r="N327" i="1"/>
  <c r="I327" i="1"/>
  <c r="I326" i="1"/>
  <c r="N326" i="1" s="1"/>
  <c r="I325" i="1"/>
  <c r="M324" i="1"/>
  <c r="L324" i="1"/>
  <c r="K324" i="1"/>
  <c r="J324" i="1"/>
  <c r="H324" i="1"/>
  <c r="G324" i="1"/>
  <c r="F324" i="1"/>
  <c r="E324" i="1"/>
  <c r="D324" i="1"/>
  <c r="C324" i="1"/>
  <c r="B324" i="1"/>
  <c r="B323" i="1"/>
  <c r="N323" i="1" s="1"/>
  <c r="N322" i="1"/>
  <c r="B322" i="1"/>
  <c r="B320" i="1"/>
  <c r="N320" i="1" s="1"/>
  <c r="N319" i="1"/>
  <c r="B319" i="1"/>
  <c r="B318" i="1"/>
  <c r="N318" i="1" s="1"/>
  <c r="B317" i="1"/>
  <c r="B315" i="1" s="1"/>
  <c r="N316" i="1"/>
  <c r="B316" i="1"/>
  <c r="J315" i="1"/>
  <c r="G315" i="1"/>
  <c r="F315" i="1"/>
  <c r="C315" i="1"/>
  <c r="I314" i="1"/>
  <c r="H314" i="1"/>
  <c r="G314" i="1"/>
  <c r="F314" i="1"/>
  <c r="M313" i="1"/>
  <c r="L313" i="1"/>
  <c r="K313" i="1"/>
  <c r="J313" i="1"/>
  <c r="I313" i="1"/>
  <c r="H313" i="1"/>
  <c r="G313" i="1"/>
  <c r="F313" i="1"/>
  <c r="N313" i="1" s="1"/>
  <c r="E313" i="1"/>
  <c r="D313" i="1"/>
  <c r="C313" i="1"/>
  <c r="B313" i="1"/>
  <c r="N312" i="1"/>
  <c r="M311" i="1"/>
  <c r="L311" i="1"/>
  <c r="K311" i="1"/>
  <c r="J311" i="1"/>
  <c r="J306" i="1" s="1"/>
  <c r="I311" i="1"/>
  <c r="I306" i="1" s="1"/>
  <c r="H311" i="1"/>
  <c r="G311" i="1"/>
  <c r="G306" i="1" s="1"/>
  <c r="F311" i="1"/>
  <c r="F306" i="1" s="1"/>
  <c r="E311" i="1"/>
  <c r="D311" i="1"/>
  <c r="C311" i="1"/>
  <c r="B311" i="1"/>
  <c r="B306" i="1" s="1"/>
  <c r="N310" i="1"/>
  <c r="N309" i="1"/>
  <c r="N308" i="1"/>
  <c r="N307" i="1"/>
  <c r="M306" i="1"/>
  <c r="L306" i="1"/>
  <c r="K306" i="1"/>
  <c r="H306" i="1"/>
  <c r="E306" i="1"/>
  <c r="D306" i="1"/>
  <c r="C306" i="1"/>
  <c r="N305" i="1"/>
  <c r="N304" i="1"/>
  <c r="N303" i="1"/>
  <c r="M302" i="1"/>
  <c r="N302" i="1" s="1"/>
  <c r="H301" i="1"/>
  <c r="H300" i="1" s="1"/>
  <c r="G301" i="1"/>
  <c r="F301" i="1"/>
  <c r="F300" i="1" s="1"/>
  <c r="E301" i="1"/>
  <c r="D301" i="1"/>
  <c r="C301" i="1"/>
  <c r="B301" i="1"/>
  <c r="L300" i="1"/>
  <c r="K300" i="1"/>
  <c r="J300" i="1"/>
  <c r="I300" i="1"/>
  <c r="G300" i="1"/>
  <c r="D300" i="1"/>
  <c r="C300" i="1"/>
  <c r="B300" i="1"/>
  <c r="M299" i="1"/>
  <c r="L299" i="1"/>
  <c r="K299" i="1"/>
  <c r="J299" i="1"/>
  <c r="I299" i="1"/>
  <c r="H299" i="1"/>
  <c r="N298" i="1"/>
  <c r="H297" i="1"/>
  <c r="G297" i="1"/>
  <c r="F297" i="1"/>
  <c r="F293" i="1" s="1"/>
  <c r="E297" i="1"/>
  <c r="E293" i="1" s="1"/>
  <c r="D297" i="1"/>
  <c r="C297" i="1"/>
  <c r="M296" i="1"/>
  <c r="M293" i="1" s="1"/>
  <c r="L296" i="1"/>
  <c r="K296" i="1"/>
  <c r="J296" i="1"/>
  <c r="I296" i="1"/>
  <c r="I293" i="1" s="1"/>
  <c r="H296" i="1"/>
  <c r="N296" i="1" s="1"/>
  <c r="G295" i="1"/>
  <c r="F295" i="1"/>
  <c r="E295" i="1"/>
  <c r="D295" i="1"/>
  <c r="C295" i="1"/>
  <c r="C293" i="1" s="1"/>
  <c r="B295" i="1"/>
  <c r="N295" i="1" s="1"/>
  <c r="N294" i="1"/>
  <c r="L293" i="1"/>
  <c r="K293" i="1"/>
  <c r="G293" i="1"/>
  <c r="D293" i="1"/>
  <c r="B293" i="1"/>
  <c r="N292" i="1"/>
  <c r="N291" i="1"/>
  <c r="N290" i="1"/>
  <c r="N289" i="1"/>
  <c r="N288" i="1"/>
  <c r="N287" i="1"/>
  <c r="N286" i="1"/>
  <c r="M285" i="1"/>
  <c r="M276" i="1" s="1"/>
  <c r="L285" i="1"/>
  <c r="K285" i="1"/>
  <c r="J285" i="1"/>
  <c r="I285" i="1"/>
  <c r="H285" i="1"/>
  <c r="G285" i="1"/>
  <c r="F285" i="1"/>
  <c r="F276" i="1" s="1"/>
  <c r="E285" i="1"/>
  <c r="E276" i="1" s="1"/>
  <c r="D285" i="1"/>
  <c r="N284" i="1"/>
  <c r="N283" i="1"/>
  <c r="N282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N280" i="1"/>
  <c r="M279" i="1"/>
  <c r="L279" i="1"/>
  <c r="L276" i="1" s="1"/>
  <c r="K279" i="1"/>
  <c r="J279" i="1"/>
  <c r="I279" i="1"/>
  <c r="I276" i="1" s="1"/>
  <c r="H279" i="1"/>
  <c r="H276" i="1" s="1"/>
  <c r="G279" i="1"/>
  <c r="G276" i="1" s="1"/>
  <c r="F279" i="1"/>
  <c r="E279" i="1"/>
  <c r="D279" i="1"/>
  <c r="C279" i="1"/>
  <c r="B279" i="1"/>
  <c r="N278" i="1"/>
  <c r="N277" i="1"/>
  <c r="K276" i="1"/>
  <c r="J276" i="1"/>
  <c r="C276" i="1"/>
  <c r="B276" i="1"/>
  <c r="N275" i="1"/>
  <c r="N274" i="1"/>
  <c r="N273" i="1"/>
  <c r="M272" i="1"/>
  <c r="L272" i="1"/>
  <c r="K272" i="1"/>
  <c r="J272" i="1"/>
  <c r="I272" i="1"/>
  <c r="H272" i="1"/>
  <c r="G272" i="1"/>
  <c r="F272" i="1"/>
  <c r="F264" i="1" s="1"/>
  <c r="E272" i="1"/>
  <c r="D272" i="1"/>
  <c r="C272" i="1"/>
  <c r="B272" i="1"/>
  <c r="N271" i="1"/>
  <c r="N270" i="1"/>
  <c r="N269" i="1"/>
  <c r="N268" i="1"/>
  <c r="M267" i="1"/>
  <c r="M264" i="1" s="1"/>
  <c r="L267" i="1"/>
  <c r="L264" i="1" s="1"/>
  <c r="K267" i="1"/>
  <c r="J267" i="1"/>
  <c r="I267" i="1"/>
  <c r="H267" i="1"/>
  <c r="G267" i="1"/>
  <c r="F267" i="1"/>
  <c r="E267" i="1"/>
  <c r="E264" i="1" s="1"/>
  <c r="D267" i="1"/>
  <c r="D264" i="1" s="1"/>
  <c r="C267" i="1"/>
  <c r="B267" i="1"/>
  <c r="N267" i="1" s="1"/>
  <c r="M266" i="1"/>
  <c r="L266" i="1"/>
  <c r="K266" i="1"/>
  <c r="K264" i="1" s="1"/>
  <c r="J266" i="1"/>
  <c r="J264" i="1" s="1"/>
  <c r="I266" i="1"/>
  <c r="H266" i="1"/>
  <c r="G266" i="1"/>
  <c r="F266" i="1"/>
  <c r="E266" i="1"/>
  <c r="D266" i="1"/>
  <c r="C266" i="1"/>
  <c r="B266" i="1"/>
  <c r="N266" i="1" s="1"/>
  <c r="N265" i="1"/>
  <c r="I264" i="1"/>
  <c r="H264" i="1"/>
  <c r="C264" i="1"/>
  <c r="N263" i="1"/>
  <c r="N262" i="1"/>
  <c r="C262" i="1"/>
  <c r="I261" i="1"/>
  <c r="I253" i="1" s="1"/>
  <c r="H261" i="1"/>
  <c r="H253" i="1" s="1"/>
  <c r="G261" i="1"/>
  <c r="G253" i="1" s="1"/>
  <c r="F261" i="1"/>
  <c r="E261" i="1"/>
  <c r="E253" i="1" s="1"/>
  <c r="D261" i="1"/>
  <c r="N260" i="1"/>
  <c r="N259" i="1"/>
  <c r="N258" i="1"/>
  <c r="N257" i="1"/>
  <c r="N256" i="1"/>
  <c r="N255" i="1"/>
  <c r="N254" i="1"/>
  <c r="M253" i="1"/>
  <c r="L253" i="1"/>
  <c r="K253" i="1"/>
  <c r="J253" i="1"/>
  <c r="F253" i="1"/>
  <c r="D253" i="1"/>
  <c r="C253" i="1"/>
  <c r="B253" i="1"/>
  <c r="N252" i="1"/>
  <c r="N251" i="1"/>
  <c r="N250" i="1"/>
  <c r="N249" i="1"/>
  <c r="M248" i="1"/>
  <c r="L248" i="1"/>
  <c r="K248" i="1"/>
  <c r="J248" i="1"/>
  <c r="J244" i="1" s="1"/>
  <c r="I248" i="1"/>
  <c r="I244" i="1" s="1"/>
  <c r="H248" i="1"/>
  <c r="G248" i="1"/>
  <c r="G244" i="1" s="1"/>
  <c r="F248" i="1"/>
  <c r="E248" i="1"/>
  <c r="E244" i="1" s="1"/>
  <c r="D248" i="1"/>
  <c r="C248" i="1"/>
  <c r="N247" i="1"/>
  <c r="N246" i="1"/>
  <c r="N245" i="1"/>
  <c r="M244" i="1"/>
  <c r="L244" i="1"/>
  <c r="K244" i="1"/>
  <c r="H244" i="1"/>
  <c r="F244" i="1"/>
  <c r="D244" i="1"/>
  <c r="C244" i="1"/>
  <c r="B244" i="1"/>
  <c r="N243" i="1"/>
  <c r="N242" i="1"/>
  <c r="N241" i="1"/>
  <c r="D240" i="1"/>
  <c r="C240" i="1"/>
  <c r="C238" i="1" s="1"/>
  <c r="N239" i="1"/>
  <c r="M238" i="1"/>
  <c r="L238" i="1"/>
  <c r="K238" i="1"/>
  <c r="J238" i="1"/>
  <c r="I238" i="1"/>
  <c r="H238" i="1"/>
  <c r="G238" i="1"/>
  <c r="F238" i="1"/>
  <c r="E238" i="1"/>
  <c r="D238" i="1"/>
  <c r="B238" i="1"/>
  <c r="N237" i="1"/>
  <c r="N236" i="1"/>
  <c r="N235" i="1"/>
  <c r="N234" i="1"/>
  <c r="M234" i="1"/>
  <c r="G234" i="1"/>
  <c r="G230" i="1" s="1"/>
  <c r="N233" i="1"/>
  <c r="N232" i="1"/>
  <c r="N231" i="1"/>
  <c r="M230" i="1"/>
  <c r="L230" i="1"/>
  <c r="K230" i="1"/>
  <c r="J230" i="1"/>
  <c r="I230" i="1"/>
  <c r="H230" i="1"/>
  <c r="F230" i="1"/>
  <c r="E230" i="1"/>
  <c r="D230" i="1"/>
  <c r="C230" i="1"/>
  <c r="B230" i="1"/>
  <c r="N229" i="1"/>
  <c r="N228" i="1"/>
  <c r="N227" i="1"/>
  <c r="N226" i="1"/>
  <c r="N225" i="1"/>
  <c r="N221" i="1" s="1"/>
  <c r="N224" i="1"/>
  <c r="N223" i="1"/>
  <c r="N222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N220" i="1"/>
  <c r="N219" i="1"/>
  <c r="N218" i="1"/>
  <c r="N217" i="1"/>
  <c r="N216" i="1"/>
  <c r="N215" i="1"/>
  <c r="N214" i="1"/>
  <c r="N213" i="1"/>
  <c r="N212" i="1" s="1"/>
  <c r="M212" i="1"/>
  <c r="L212" i="1"/>
  <c r="K212" i="1"/>
  <c r="J212" i="1"/>
  <c r="I212" i="1"/>
  <c r="H212" i="1"/>
  <c r="G212" i="1"/>
  <c r="F212" i="1"/>
  <c r="E212" i="1"/>
  <c r="D212" i="1"/>
  <c r="C212" i="1"/>
  <c r="B212" i="1"/>
  <c r="N211" i="1"/>
  <c r="N210" i="1"/>
  <c r="N209" i="1"/>
  <c r="N208" i="1"/>
  <c r="N207" i="1"/>
  <c r="N206" i="1"/>
  <c r="N205" i="1"/>
  <c r="N203" i="1" s="1"/>
  <c r="N204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N202" i="1"/>
  <c r="N201" i="1"/>
  <c r="N200" i="1"/>
  <c r="N199" i="1"/>
  <c r="N198" i="1"/>
  <c r="N197" i="1"/>
  <c r="N196" i="1"/>
  <c r="N195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N193" i="1"/>
  <c r="N192" i="1"/>
  <c r="N191" i="1"/>
  <c r="N190" i="1"/>
  <c r="N189" i="1"/>
  <c r="N188" i="1"/>
  <c r="N187" i="1"/>
  <c r="N186" i="1"/>
  <c r="N185" i="1" s="1"/>
  <c r="M185" i="1"/>
  <c r="L185" i="1"/>
  <c r="K185" i="1"/>
  <c r="J185" i="1"/>
  <c r="I185" i="1"/>
  <c r="H185" i="1"/>
  <c r="G185" i="1"/>
  <c r="F185" i="1"/>
  <c r="E185" i="1"/>
  <c r="D185" i="1"/>
  <c r="C185" i="1"/>
  <c r="B185" i="1"/>
  <c r="N184" i="1"/>
  <c r="N183" i="1"/>
  <c r="N182" i="1"/>
  <c r="N181" i="1"/>
  <c r="N180" i="1"/>
  <c r="N179" i="1"/>
  <c r="N178" i="1"/>
  <c r="N177" i="1"/>
  <c r="N176" i="1" s="1"/>
  <c r="M176" i="1"/>
  <c r="L176" i="1"/>
  <c r="K176" i="1"/>
  <c r="J176" i="1"/>
  <c r="I176" i="1"/>
  <c r="H176" i="1"/>
  <c r="G176" i="1"/>
  <c r="F176" i="1"/>
  <c r="E176" i="1"/>
  <c r="D176" i="1"/>
  <c r="C176" i="1"/>
  <c r="B176" i="1"/>
  <c r="N175" i="1"/>
  <c r="N174" i="1"/>
  <c r="N173" i="1"/>
  <c r="N172" i="1"/>
  <c r="N171" i="1"/>
  <c r="N170" i="1"/>
  <c r="N169" i="1"/>
  <c r="N168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N166" i="1"/>
  <c r="N165" i="1"/>
  <c r="N164" i="1"/>
  <c r="N163" i="1"/>
  <c r="N162" i="1"/>
  <c r="N161" i="1"/>
  <c r="N160" i="1"/>
  <c r="N159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N157" i="1"/>
  <c r="N156" i="1"/>
  <c r="N155" i="1"/>
  <c r="N154" i="1"/>
  <c r="N153" i="1"/>
  <c r="N149" i="1" s="1"/>
  <c r="N152" i="1"/>
  <c r="N151" i="1"/>
  <c r="N150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N148" i="1"/>
  <c r="N147" i="1"/>
  <c r="N146" i="1"/>
  <c r="N145" i="1"/>
  <c r="N140" i="1" s="1"/>
  <c r="N144" i="1"/>
  <c r="N143" i="1"/>
  <c r="N142" i="1"/>
  <c r="N141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N139" i="1"/>
  <c r="N138" i="1"/>
  <c r="N137" i="1"/>
  <c r="N136" i="1"/>
  <c r="N135" i="1"/>
  <c r="N134" i="1"/>
  <c r="N133" i="1"/>
  <c r="N132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N130" i="1"/>
  <c r="N129" i="1"/>
  <c r="N128" i="1"/>
  <c r="N127" i="1"/>
  <c r="N126" i="1"/>
  <c r="N125" i="1"/>
  <c r="N124" i="1"/>
  <c r="N123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N121" i="1"/>
  <c r="N120" i="1"/>
  <c r="N119" i="1"/>
  <c r="N118" i="1"/>
  <c r="N117" i="1"/>
  <c r="N116" i="1"/>
  <c r="N115" i="1"/>
  <c r="N114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N112" i="1"/>
  <c r="N111" i="1"/>
  <c r="N110" i="1"/>
  <c r="N109" i="1"/>
  <c r="N108" i="1"/>
  <c r="N107" i="1"/>
  <c r="N106" i="1"/>
  <c r="N105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N103" i="1"/>
  <c r="N102" i="1"/>
  <c r="N101" i="1"/>
  <c r="N100" i="1"/>
  <c r="N99" i="1"/>
  <c r="N98" i="1"/>
  <c r="N97" i="1"/>
  <c r="N96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N94" i="1"/>
  <c r="N93" i="1"/>
  <c r="N92" i="1"/>
  <c r="N91" i="1"/>
  <c r="N90" i="1"/>
  <c r="N89" i="1"/>
  <c r="N88" i="1"/>
  <c r="N87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N85" i="1"/>
  <c r="N84" i="1"/>
  <c r="N83" i="1"/>
  <c r="N82" i="1"/>
  <c r="N81" i="1"/>
  <c r="N80" i="1"/>
  <c r="N79" i="1"/>
  <c r="N78" i="1"/>
  <c r="N77" i="1" s="1"/>
  <c r="M77" i="1"/>
  <c r="L77" i="1"/>
  <c r="K77" i="1"/>
  <c r="J77" i="1"/>
  <c r="I77" i="1"/>
  <c r="H77" i="1"/>
  <c r="G77" i="1"/>
  <c r="F77" i="1"/>
  <c r="E77" i="1"/>
  <c r="D77" i="1"/>
  <c r="C77" i="1"/>
  <c r="B77" i="1"/>
  <c r="N76" i="1"/>
  <c r="N75" i="1"/>
  <c r="N74" i="1"/>
  <c r="N73" i="1"/>
  <c r="N72" i="1"/>
  <c r="N71" i="1"/>
  <c r="N70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N68" i="1"/>
  <c r="N67" i="1"/>
  <c r="N66" i="1"/>
  <c r="N65" i="1"/>
  <c r="N64" i="1"/>
  <c r="N63" i="1"/>
  <c r="N62" i="1"/>
  <c r="N60" i="1" s="1"/>
  <c r="N61" i="1"/>
  <c r="M60" i="1"/>
  <c r="L60" i="1"/>
  <c r="K60" i="1"/>
  <c r="J60" i="1"/>
  <c r="I60" i="1"/>
  <c r="H60" i="1"/>
  <c r="G60" i="1"/>
  <c r="F60" i="1"/>
  <c r="E60" i="1"/>
  <c r="D60" i="1"/>
  <c r="C60" i="1"/>
  <c r="B60" i="1"/>
  <c r="N59" i="1"/>
  <c r="N58" i="1"/>
  <c r="N57" i="1"/>
  <c r="N56" i="1"/>
  <c r="N55" i="1"/>
  <c r="N54" i="1"/>
  <c r="N53" i="1"/>
  <c r="N52" i="1"/>
  <c r="N51" i="1" s="1"/>
  <c r="M51" i="1"/>
  <c r="L51" i="1"/>
  <c r="K51" i="1"/>
  <c r="J51" i="1"/>
  <c r="I51" i="1"/>
  <c r="H51" i="1"/>
  <c r="G51" i="1"/>
  <c r="F51" i="1"/>
  <c r="E51" i="1"/>
  <c r="D51" i="1"/>
  <c r="C51" i="1"/>
  <c r="B51" i="1"/>
  <c r="N50" i="1"/>
  <c r="N49" i="1"/>
  <c r="N48" i="1"/>
  <c r="N47" i="1"/>
  <c r="N46" i="1"/>
  <c r="N45" i="1"/>
  <c r="N44" i="1"/>
  <c r="N43" i="1"/>
  <c r="M42" i="1"/>
  <c r="L42" i="1"/>
  <c r="K42" i="1"/>
  <c r="J42" i="1"/>
  <c r="I42" i="1"/>
  <c r="H42" i="1"/>
  <c r="G42" i="1"/>
  <c r="F42" i="1"/>
  <c r="E42" i="1"/>
  <c r="D42" i="1"/>
  <c r="C42" i="1"/>
  <c r="B42" i="1"/>
  <c r="N41" i="1"/>
  <c r="N40" i="1"/>
  <c r="N39" i="1"/>
  <c r="E38" i="1"/>
  <c r="D38" i="1"/>
  <c r="D33" i="1" s="1"/>
  <c r="N37" i="1"/>
  <c r="N36" i="1"/>
  <c r="N35" i="1"/>
  <c r="N34" i="1"/>
  <c r="E34" i="1"/>
  <c r="E32" i="1" s="1"/>
  <c r="D34" i="1"/>
  <c r="D32" i="1" s="1"/>
  <c r="C34" i="1"/>
  <c r="C32" i="1" s="1"/>
  <c r="M33" i="1"/>
  <c r="L33" i="1"/>
  <c r="K33" i="1"/>
  <c r="J33" i="1"/>
  <c r="I33" i="1"/>
  <c r="H33" i="1"/>
  <c r="G33" i="1"/>
  <c r="F33" i="1"/>
  <c r="C33" i="1"/>
  <c r="B33" i="1"/>
  <c r="M32" i="1"/>
  <c r="L32" i="1"/>
  <c r="K32" i="1"/>
  <c r="J32" i="1"/>
  <c r="I32" i="1"/>
  <c r="H32" i="1"/>
  <c r="G32" i="1"/>
  <c r="F32" i="1"/>
  <c r="B32" i="1"/>
  <c r="N31" i="1"/>
  <c r="N30" i="1"/>
  <c r="M29" i="1"/>
  <c r="L29" i="1"/>
  <c r="L20" i="1" s="1"/>
  <c r="K29" i="1"/>
  <c r="K20" i="1" s="1"/>
  <c r="J29" i="1"/>
  <c r="J20" i="1" s="1"/>
  <c r="I29" i="1"/>
  <c r="H29" i="1"/>
  <c r="G29" i="1"/>
  <c r="F29" i="1"/>
  <c r="E29" i="1"/>
  <c r="D29" i="1"/>
  <c r="C29" i="1"/>
  <c r="C20" i="1" s="1"/>
  <c r="N28" i="1"/>
  <c r="G27" i="1"/>
  <c r="F27" i="1"/>
  <c r="E27" i="1"/>
  <c r="E21" i="1" s="1"/>
  <c r="D27" i="1"/>
  <c r="D20" i="1" s="1"/>
  <c r="C27" i="1"/>
  <c r="N27" i="1" s="1"/>
  <c r="N26" i="1"/>
  <c r="N25" i="1"/>
  <c r="H24" i="1"/>
  <c r="H20" i="1" s="1"/>
  <c r="G24" i="1"/>
  <c r="F24" i="1"/>
  <c r="E24" i="1"/>
  <c r="E20" i="1" s="1"/>
  <c r="D24" i="1"/>
  <c r="N23" i="1"/>
  <c r="N22" i="1"/>
  <c r="M21" i="1"/>
  <c r="I21" i="1"/>
  <c r="H21" i="1"/>
  <c r="G21" i="1"/>
  <c r="F21" i="1"/>
  <c r="B21" i="1"/>
  <c r="M20" i="1"/>
  <c r="I20" i="1"/>
  <c r="G20" i="1"/>
  <c r="F20" i="1"/>
  <c r="B20" i="1"/>
  <c r="N19" i="1"/>
  <c r="N18" i="1"/>
  <c r="N17" i="1"/>
  <c r="N16" i="1"/>
  <c r="N15" i="1"/>
  <c r="N14" i="1"/>
  <c r="N13" i="1"/>
  <c r="N12" i="1"/>
  <c r="N11" i="1"/>
  <c r="N10" i="1"/>
  <c r="M9" i="1"/>
  <c r="L9" i="1"/>
  <c r="K9" i="1"/>
  <c r="J9" i="1"/>
  <c r="I9" i="1"/>
  <c r="H9" i="1"/>
  <c r="G9" i="1"/>
  <c r="F9" i="1"/>
  <c r="E9" i="1"/>
  <c r="D9" i="1"/>
  <c r="C9" i="1"/>
  <c r="B9" i="1"/>
  <c r="M7" i="1"/>
  <c r="L7" i="1"/>
  <c r="L2" i="1" s="1"/>
  <c r="K7" i="1"/>
  <c r="K3" i="1" s="1"/>
  <c r="J7" i="1"/>
  <c r="I7" i="1"/>
  <c r="H7" i="1"/>
  <c r="G7" i="1"/>
  <c r="G2" i="1" s="1"/>
  <c r="F7" i="1"/>
  <c r="N7" i="1" s="1"/>
  <c r="E7" i="1"/>
  <c r="D7" i="1"/>
  <c r="D2" i="1" s="1"/>
  <c r="C7" i="1"/>
  <c r="B7" i="1"/>
  <c r="C6" i="1"/>
  <c r="C3" i="1" s="1"/>
  <c r="B6" i="1"/>
  <c r="B3" i="1" s="1"/>
  <c r="M5" i="1"/>
  <c r="M4" i="1" s="1"/>
  <c r="L5" i="1"/>
  <c r="K5" i="1"/>
  <c r="J5" i="1"/>
  <c r="I5" i="1"/>
  <c r="I2" i="1" s="1"/>
  <c r="H5" i="1"/>
  <c r="H2" i="1" s="1"/>
  <c r="G5" i="1"/>
  <c r="G3" i="1" s="1"/>
  <c r="F5" i="1"/>
  <c r="F2" i="1" s="1"/>
  <c r="E5" i="1"/>
  <c r="E4" i="1" s="1"/>
  <c r="D5" i="1"/>
  <c r="C5" i="1"/>
  <c r="B5" i="1"/>
  <c r="L4" i="1"/>
  <c r="K4" i="1"/>
  <c r="J4" i="1"/>
  <c r="G4" i="1"/>
  <c r="F4" i="1"/>
  <c r="D4" i="1"/>
  <c r="M3" i="1"/>
  <c r="L3" i="1"/>
  <c r="J3" i="1"/>
  <c r="E3" i="1"/>
  <c r="D3" i="1"/>
  <c r="J2" i="1"/>
  <c r="B2" i="1"/>
  <c r="C2" i="1" l="1"/>
  <c r="N24" i="1"/>
  <c r="N158" i="1"/>
  <c r="F3" i="1"/>
  <c r="H4" i="1"/>
  <c r="N6" i="1"/>
  <c r="J21" i="1"/>
  <c r="E33" i="1"/>
  <c r="N38" i="1"/>
  <c r="N32" i="1" s="1"/>
  <c r="N261" i="1"/>
  <c r="N281" i="1"/>
  <c r="N285" i="1"/>
  <c r="J293" i="1"/>
  <c r="N342" i="1"/>
  <c r="D314" i="1"/>
  <c r="D315" i="1"/>
  <c r="N373" i="1"/>
  <c r="N276" i="1"/>
  <c r="L351" i="1"/>
  <c r="N354" i="1"/>
  <c r="L315" i="1"/>
  <c r="K2" i="1"/>
  <c r="E2" i="1"/>
  <c r="M2" i="1"/>
  <c r="I4" i="1"/>
  <c r="C21" i="1"/>
  <c r="K21" i="1"/>
  <c r="N29" i="1"/>
  <c r="N104" i="1"/>
  <c r="N240" i="1"/>
  <c r="I315" i="1"/>
  <c r="N325" i="1"/>
  <c r="I324" i="1"/>
  <c r="K314" i="1"/>
  <c r="E314" i="1"/>
  <c r="E315" i="1"/>
  <c r="M314" i="1"/>
  <c r="M315" i="1"/>
  <c r="H368" i="1"/>
  <c r="E368" i="1"/>
  <c r="N370" i="1"/>
  <c r="N230" i="1"/>
  <c r="K351" i="1"/>
  <c r="N359" i="1"/>
  <c r="H3" i="1"/>
  <c r="B4" i="1"/>
  <c r="D21" i="1"/>
  <c r="L21" i="1"/>
  <c r="N279" i="1"/>
  <c r="N344" i="1"/>
  <c r="N371" i="1"/>
  <c r="N374" i="1"/>
  <c r="I3" i="1"/>
  <c r="C4" i="1"/>
  <c r="N113" i="1"/>
  <c r="N194" i="1"/>
  <c r="N299" i="1"/>
  <c r="N317" i="1"/>
  <c r="B314" i="1"/>
  <c r="N5" i="1"/>
  <c r="N9" i="1"/>
  <c r="N42" i="1"/>
  <c r="N122" i="1"/>
  <c r="N131" i="1"/>
  <c r="N248" i="1"/>
  <c r="B264" i="1"/>
  <c r="G264" i="1"/>
  <c r="N272" i="1"/>
  <c r="N297" i="1"/>
  <c r="N293" i="1" s="1"/>
  <c r="N301" i="1"/>
  <c r="E300" i="1"/>
  <c r="N167" i="1"/>
  <c r="N311" i="1"/>
  <c r="N333" i="1"/>
  <c r="D276" i="1"/>
  <c r="M300" i="1"/>
  <c r="N306" i="1"/>
  <c r="N364" i="1"/>
  <c r="N372" i="1"/>
  <c r="N368" i="1" s="1"/>
  <c r="N264" i="1"/>
  <c r="H293" i="1"/>
  <c r="N324" i="1" l="1"/>
  <c r="O333" i="1"/>
  <c r="N33" i="1"/>
  <c r="N244" i="1"/>
  <c r="O261" i="1"/>
  <c r="N362" i="1"/>
  <c r="N300" i="1"/>
  <c r="N314" i="1"/>
  <c r="O29" i="1"/>
  <c r="N238" i="1"/>
  <c r="N20" i="1"/>
  <c r="N21" i="1"/>
  <c r="O21" i="1" s="1"/>
  <c r="N2" i="1"/>
  <c r="N3" i="1"/>
  <c r="N4" i="1"/>
  <c r="O344" i="1"/>
  <c r="N315" i="1"/>
  <c r="O194" i="1"/>
  <c r="N253" i="1"/>
  <c r="N351" i="1"/>
  <c r="O299" i="1"/>
  <c r="O383" i="1" l="1"/>
  <c r="O379" i="1"/>
  <c r="O375" i="1"/>
  <c r="O366" i="1"/>
  <c r="O358" i="1"/>
  <c r="O343" i="1"/>
  <c r="O336" i="1"/>
  <c r="O329" i="1"/>
  <c r="O322" i="1"/>
  <c r="O294" i="1"/>
  <c r="O292" i="1"/>
  <c r="O288" i="1"/>
  <c r="O291" i="1"/>
  <c r="O287" i="1"/>
  <c r="O257" i="1"/>
  <c r="O251" i="1"/>
  <c r="O377" i="1"/>
  <c r="O367" i="1"/>
  <c r="O360" i="1"/>
  <c r="O353" i="1"/>
  <c r="O327" i="1"/>
  <c r="O289" i="1"/>
  <c r="O280" i="1"/>
  <c r="O252" i="1"/>
  <c r="O144" i="1"/>
  <c r="O119" i="1"/>
  <c r="O114" i="1"/>
  <c r="O82" i="1"/>
  <c r="O66" i="1"/>
  <c r="O62" i="1"/>
  <c r="O56" i="1"/>
  <c r="O52" i="1"/>
  <c r="O50" i="1"/>
  <c r="O46" i="1"/>
  <c r="O40" i="1"/>
  <c r="O37" i="1"/>
  <c r="O28" i="1"/>
  <c r="O332" i="1"/>
  <c r="O270" i="1"/>
  <c r="O129" i="1"/>
  <c r="O112" i="1"/>
  <c r="O31" i="1"/>
  <c r="O282" i="1"/>
  <c r="O247" i="1"/>
  <c r="O241" i="1"/>
  <c r="O223" i="1"/>
  <c r="O213" i="1"/>
  <c r="O201" i="1"/>
  <c r="O171" i="1"/>
  <c r="O151" i="1"/>
  <c r="O148" i="1"/>
  <c r="O135" i="1"/>
  <c r="O118" i="1"/>
  <c r="O89" i="1"/>
  <c r="O81" i="1"/>
  <c r="O65" i="1"/>
  <c r="O61" i="1"/>
  <c r="O59" i="1"/>
  <c r="O55" i="1"/>
  <c r="O49" i="1"/>
  <c r="O45" i="1"/>
  <c r="O39" i="1"/>
  <c r="O36" i="1"/>
  <c r="O16" i="1"/>
  <c r="O12" i="1"/>
  <c r="O2" i="1"/>
  <c r="O334" i="1"/>
  <c r="O258" i="1"/>
  <c r="O99" i="1"/>
  <c r="O316" i="1"/>
  <c r="O255" i="1"/>
  <c r="O124" i="1"/>
  <c r="O78" i="1"/>
  <c r="O249" i="1"/>
  <c r="O19" i="1"/>
  <c r="O15" i="1"/>
  <c r="O197" i="1"/>
  <c r="O339" i="1"/>
  <c r="O259" i="1"/>
  <c r="O254" i="1"/>
  <c r="O346" i="1"/>
  <c r="O54" i="1"/>
  <c r="O13" i="1"/>
  <c r="O7" i="1"/>
  <c r="O161" i="1"/>
  <c r="O79" i="1"/>
  <c r="O313" i="1"/>
  <c r="O27" i="1"/>
  <c r="O217" i="1"/>
  <c r="O115" i="1"/>
  <c r="O51" i="1"/>
  <c r="O120" i="1"/>
  <c r="O84" i="1"/>
  <c r="O188" i="1"/>
  <c r="O347" i="1"/>
  <c r="O96" i="1"/>
  <c r="O179" i="1"/>
  <c r="O246" i="1"/>
  <c r="O340" i="1"/>
  <c r="O184" i="1"/>
  <c r="O210" i="1"/>
  <c r="O326" i="1"/>
  <c r="O174" i="1"/>
  <c r="O278" i="1"/>
  <c r="O195" i="1"/>
  <c r="O267" i="1"/>
  <c r="O205" i="1"/>
  <c r="O269" i="1"/>
  <c r="O318" i="1"/>
  <c r="O328" i="1"/>
  <c r="O173" i="1"/>
  <c r="O243" i="1"/>
  <c r="O363" i="1"/>
  <c r="O133" i="1"/>
  <c r="O111" i="1"/>
  <c r="O319" i="1"/>
  <c r="O47" i="1"/>
  <c r="O275" i="1"/>
  <c r="O67" i="1"/>
  <c r="O68" i="1"/>
  <c r="O14" i="1"/>
  <c r="O83" i="1"/>
  <c r="O95" i="1"/>
  <c r="O349" i="1"/>
  <c r="O58" i="1"/>
  <c r="O323" i="1"/>
  <c r="O128" i="1"/>
  <c r="O69" i="1"/>
  <c r="O193" i="1"/>
  <c r="O177" i="1"/>
  <c r="O101" i="1"/>
  <c r="O199" i="1"/>
  <c r="O361" i="1"/>
  <c r="O189" i="1"/>
  <c r="O232" i="1"/>
  <c r="O94" i="1"/>
  <c r="O219" i="1"/>
  <c r="O341" i="1"/>
  <c r="O226" i="1"/>
  <c r="O312" i="1"/>
  <c r="O214" i="1"/>
  <c r="O331" i="1"/>
  <c r="O168" i="1"/>
  <c r="O182" i="1"/>
  <c r="O277" i="1"/>
  <c r="O224" i="1"/>
  <c r="O345" i="1"/>
  <c r="O186" i="1"/>
  <c r="O126" i="1"/>
  <c r="O220" i="1"/>
  <c r="O234" i="1"/>
  <c r="O382" i="1"/>
  <c r="O192" i="1"/>
  <c r="O35" i="1"/>
  <c r="O198" i="1"/>
  <c r="O216" i="1"/>
  <c r="O338" i="1"/>
  <c r="O138" i="1"/>
  <c r="O132" i="1"/>
  <c r="O381" i="1"/>
  <c r="O290" i="1"/>
  <c r="O350" i="1"/>
  <c r="O105" i="1"/>
  <c r="O155" i="1"/>
  <c r="O25" i="1"/>
  <c r="O221" i="1"/>
  <c r="O103" i="1"/>
  <c r="O11" i="1"/>
  <c r="O63" i="1"/>
  <c r="O17" i="1"/>
  <c r="O187" i="1"/>
  <c r="O98" i="1"/>
  <c r="O116" i="1"/>
  <c r="O208" i="1"/>
  <c r="O295" i="1"/>
  <c r="O117" i="1"/>
  <c r="O200" i="1"/>
  <c r="O260" i="1"/>
  <c r="O348" i="1"/>
  <c r="O107" i="1"/>
  <c r="O274" i="1"/>
  <c r="O97" i="1"/>
  <c r="O229" i="1"/>
  <c r="O296" i="1"/>
  <c r="O204" i="1"/>
  <c r="O136" i="1"/>
  <c r="O283" i="1"/>
  <c r="O91" i="1"/>
  <c r="O284" i="1"/>
  <c r="O337" i="1"/>
  <c r="O64" i="1"/>
  <c r="O143" i="1"/>
  <c r="O302" i="1"/>
  <c r="O185" i="1"/>
  <c r="O159" i="1"/>
  <c r="O170" i="1"/>
  <c r="O271" i="1"/>
  <c r="O123" i="1"/>
  <c r="O141" i="1"/>
  <c r="O191" i="1"/>
  <c r="O43" i="1"/>
  <c r="O108" i="1"/>
  <c r="O48" i="1"/>
  <c r="O92" i="1"/>
  <c r="O30" i="1"/>
  <c r="O203" i="1"/>
  <c r="O134" i="1"/>
  <c r="O146" i="1"/>
  <c r="O237" i="1"/>
  <c r="O209" i="1"/>
  <c r="O286" i="1"/>
  <c r="O231" i="1"/>
  <c r="O335" i="1"/>
  <c r="O127" i="1"/>
  <c r="O250" i="1"/>
  <c r="O352" i="1"/>
  <c r="O152" i="1"/>
  <c r="O106" i="1"/>
  <c r="O308" i="1"/>
  <c r="O239" i="1"/>
  <c r="O196" i="1"/>
  <c r="O88" i="1"/>
  <c r="O93" i="1"/>
  <c r="O178" i="1"/>
  <c r="O85" i="1"/>
  <c r="O190" i="1"/>
  <c r="O162" i="1"/>
  <c r="O176" i="1"/>
  <c r="O227" i="1"/>
  <c r="O77" i="1"/>
  <c r="O26" i="1"/>
  <c r="O139" i="1"/>
  <c r="O149" i="1"/>
  <c r="O109" i="1"/>
  <c r="O34" i="1"/>
  <c r="O10" i="1"/>
  <c r="O165" i="1"/>
  <c r="O87" i="1"/>
  <c r="O160" i="1"/>
  <c r="O245" i="1"/>
  <c r="O22" i="1"/>
  <c r="O147" i="1"/>
  <c r="O218" i="1"/>
  <c r="O355" i="1"/>
  <c r="O142" i="1"/>
  <c r="O262" i="1"/>
  <c r="O365" i="1"/>
  <c r="O376" i="1"/>
  <c r="O110" i="1"/>
  <c r="O256" i="1"/>
  <c r="O357" i="1"/>
  <c r="O163" i="1"/>
  <c r="O242" i="1"/>
  <c r="O154" i="1"/>
  <c r="O137" i="1"/>
  <c r="O206" i="1"/>
  <c r="O309" i="1"/>
  <c r="O125" i="1"/>
  <c r="O57" i="1"/>
  <c r="O211" i="1"/>
  <c r="O330" i="1"/>
  <c r="O181" i="1"/>
  <c r="O356" i="1"/>
  <c r="O156" i="1"/>
  <c r="O380" i="1"/>
  <c r="O266" i="1"/>
  <c r="O305" i="1"/>
  <c r="O164" i="1"/>
  <c r="O60" i="1"/>
  <c r="O86" i="1"/>
  <c r="O303" i="1"/>
  <c r="O268" i="1"/>
  <c r="O307" i="1"/>
  <c r="O212" i="1"/>
  <c r="O233" i="1"/>
  <c r="O102" i="1"/>
  <c r="O44" i="1"/>
  <c r="O175" i="1"/>
  <c r="O207" i="1"/>
  <c r="O140" i="1"/>
  <c r="O41" i="1"/>
  <c r="O18" i="1"/>
  <c r="O236" i="1"/>
  <c r="O121" i="1"/>
  <c r="O166" i="1"/>
  <c r="O310" i="1"/>
  <c r="O378" i="1"/>
  <c r="O100" i="1"/>
  <c r="O150" i="1"/>
  <c r="O222" i="1"/>
  <c r="O273" i="1"/>
  <c r="O157" i="1"/>
  <c r="O265" i="1"/>
  <c r="O130" i="1"/>
  <c r="O263" i="1"/>
  <c r="O369" i="1"/>
  <c r="O90" i="1"/>
  <c r="O172" i="1"/>
  <c r="O183" i="1"/>
  <c r="O153" i="1"/>
  <c r="O215" i="1"/>
  <c r="O53" i="1"/>
  <c r="O145" i="1"/>
  <c r="O169" i="1"/>
  <c r="O320" i="1"/>
  <c r="O80" i="1"/>
  <c r="O228" i="1"/>
  <c r="O180" i="1"/>
  <c r="O225" i="1"/>
  <c r="O23" i="1"/>
  <c r="O202" i="1"/>
  <c r="O235" i="1"/>
  <c r="O374" i="1"/>
  <c r="O244" i="1"/>
  <c r="O324" i="1"/>
  <c r="O314" i="1"/>
  <c r="O276" i="1"/>
  <c r="O364" i="1"/>
  <c r="O372" i="1"/>
  <c r="O3" i="1"/>
  <c r="O325" i="1"/>
  <c r="O272" i="1"/>
  <c r="O238" i="1"/>
  <c r="O33" i="1"/>
  <c r="O279" i="1"/>
  <c r="O20" i="1"/>
  <c r="O264" i="1"/>
  <c r="O351" i="1"/>
  <c r="O131" i="1"/>
  <c r="O42" i="1"/>
  <c r="O354" i="1"/>
  <c r="O5" i="1"/>
  <c r="O300" i="1"/>
  <c r="O104" i="1"/>
  <c r="O9" i="1"/>
  <c r="O342" i="1"/>
  <c r="O240" i="1"/>
  <c r="O301" i="1"/>
  <c r="O371" i="1"/>
  <c r="O32" i="1"/>
  <c r="O158" i="1"/>
  <c r="O253" i="1"/>
  <c r="O306" i="1"/>
  <c r="O359" i="1"/>
  <c r="O6" i="1"/>
  <c r="O311" i="1"/>
  <c r="O113" i="1"/>
  <c r="O293" i="1"/>
  <c r="O122" i="1"/>
  <c r="O317" i="1"/>
  <c r="O4" i="1"/>
  <c r="O24" i="1"/>
  <c r="O315" i="1"/>
  <c r="O230" i="1"/>
  <c r="O281" i="1"/>
  <c r="O370" i="1"/>
  <c r="O38" i="1"/>
  <c r="O167" i="1"/>
  <c r="O373" i="1"/>
  <c r="O362" i="1"/>
  <c r="O248" i="1"/>
  <c r="O368" i="1"/>
</calcChain>
</file>

<file path=xl/sharedStrings.xml><?xml version="1.0" encoding="utf-8"?>
<sst xmlns="http://schemas.openxmlformats.org/spreadsheetml/2006/main" count="393" uniqueCount="188">
  <si>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</si>
  <si>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</si>
  <si>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</si>
  <si>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</si>
  <si>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</si>
  <si>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</si>
  <si>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</si>
  <si>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</si>
  <si>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</si>
  <si>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</si>
  <si>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</si>
  <si>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</si>
  <si>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</si>
  <si>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Part. (%)</t>
  </si>
  <si>
    <t>TOTAL GERAL</t>
  </si>
  <si>
    <t>PESSOAL (CLT e PJ recorrente)</t>
  </si>
  <si>
    <t>Folha CLT</t>
  </si>
  <si>
    <t>Analista administrativo e financeiro - Isabela Rolim</t>
  </si>
  <si>
    <t>Assistente Comercial / administrativo - Emmanuel Pires</t>
  </si>
  <si>
    <t>Consultora Pedagógica (Analista) - Raissa Fernandes</t>
  </si>
  <si>
    <t>PJs recorrentes</t>
  </si>
  <si>
    <t>Consultor Primeira infância - Layla Ramos</t>
  </si>
  <si>
    <t>Consultor Fund 1 - Jhon Jarisson</t>
  </si>
  <si>
    <t>Consultor Fund 1 - Bia Andrade</t>
  </si>
  <si>
    <t>Analista editorial Infantil - Belinha</t>
  </si>
  <si>
    <t>Consultor organizacional - Renato Assis</t>
  </si>
  <si>
    <t>Consultor de produção musical - Marcio</t>
  </si>
  <si>
    <t>Representação comercial - Região Norte</t>
  </si>
  <si>
    <t>Analista editorial Fund 1 - a contratar</t>
  </si>
  <si>
    <t>Representante comercial -  a contratar</t>
  </si>
  <si>
    <t>Analista de marketing -  a contratar</t>
  </si>
  <si>
    <t>PRODUÇÃO PEDAGÓGICA &amp; EDITORIAL (Conteúdo)</t>
  </si>
  <si>
    <t>PAIDEIA INFANTIL</t>
  </si>
  <si>
    <t xml:space="preserve">Autoria Paideia - Infantil Priscila </t>
  </si>
  <si>
    <t>Autoria Paideia - Infantil Katarina</t>
  </si>
  <si>
    <t>Autoria Paideia – Infantil Jhon</t>
  </si>
  <si>
    <t>Autoria Paideia – Infantil Layla</t>
  </si>
  <si>
    <t>Autoria Paideia - Finalização de pagamento do autor de tecnologia</t>
  </si>
  <si>
    <t>Revisão de contéudo Paideia - Infantil livro do aluno (Pag. por página diagramada no valor de R$ 3,50)</t>
  </si>
  <si>
    <t>Revisão de contéudo Paideia - Infantil livro do professor</t>
  </si>
  <si>
    <t>Diagramação Paideia - Infantil (Livro 3 e 4 do aluno e todos os livros do professor)</t>
  </si>
  <si>
    <t>Ilustração Paideia - Infantil</t>
  </si>
  <si>
    <t>Construção dos flashcards (geral)</t>
  </si>
  <si>
    <t>PRODUÇÃO FUDAMENTAL 1 (Pagamento de 50% em 2026 do 2º ano ao 5º ano)</t>
  </si>
  <si>
    <t>Autoria  - 1º Ano Fund 1</t>
  </si>
  <si>
    <t>Português</t>
  </si>
  <si>
    <t>Matemática</t>
  </si>
  <si>
    <t>História</t>
  </si>
  <si>
    <t>Geografia</t>
  </si>
  <si>
    <t>Música</t>
  </si>
  <si>
    <t>Arte</t>
  </si>
  <si>
    <t>Ciência</t>
  </si>
  <si>
    <t>Tecnologia</t>
  </si>
  <si>
    <t>Revisão ortográfica - 1º Ano Fund 1</t>
  </si>
  <si>
    <t>Ilustração - 1º Ano Fund 1</t>
  </si>
  <si>
    <t>Diagramação - 1º Ano Fund 1</t>
  </si>
  <si>
    <t>Livro do prof. (correção, ilust. e diagr.) - 1º Ano Fund 1</t>
  </si>
  <si>
    <t>Autoria  - 2º Ano Fund 1</t>
  </si>
  <si>
    <t>Revisão ortográfica - 2º Ano Fund 1</t>
  </si>
  <si>
    <t>Ilustração - 2º Ano Fund 1</t>
  </si>
  <si>
    <t>Diagramação - 2º Ano Fund 1</t>
  </si>
  <si>
    <t>Autoria  - 3º Ano Fund 1</t>
  </si>
  <si>
    <t>Revisão ortográfica - 3º Ano Fund 1</t>
  </si>
  <si>
    <t>Ilustração - 3º Ano Fund 1</t>
  </si>
  <si>
    <t>Diagramação - 3º Ano Fund 1</t>
  </si>
  <si>
    <t>Autoria  - 4º Ano Fund 1</t>
  </si>
  <si>
    <t>Revisão ortográfica - 4º Ano Fund 1</t>
  </si>
  <si>
    <t>Ilustração - 4º Ano Fund 1</t>
  </si>
  <si>
    <t>Diagramação - 4º Ano Fund 1</t>
  </si>
  <si>
    <t>Autoria  - 5º Ano Fund 1</t>
  </si>
  <si>
    <t>Revisão ortográfica - 5º Ano Fund 1</t>
  </si>
  <si>
    <t>Ilustração - 5º Ano Fund 1</t>
  </si>
  <si>
    <t>Diagramação - 5º Ano Fund 1</t>
  </si>
  <si>
    <t>Assessoria editorial para padronização e fechamento de arquivos do Fund 1</t>
  </si>
  <si>
    <t>BIBLOS</t>
  </si>
  <si>
    <t>Autoria livro 5 e 6 nível 1 - aluno</t>
  </si>
  <si>
    <t>Autoria livro 5 e 6 nível 1 - professor</t>
  </si>
  <si>
    <t>Revisão teológica</t>
  </si>
  <si>
    <t xml:space="preserve">Revisão ortográfica </t>
  </si>
  <si>
    <t>Ilustração</t>
  </si>
  <si>
    <t>Diagramação</t>
  </si>
  <si>
    <t>Elaboração de material do advento</t>
  </si>
  <si>
    <t>OIKOS</t>
  </si>
  <si>
    <t>Revisão ortográfica</t>
  </si>
  <si>
    <t>Adaptações pedagógicas (Tayssa e Priscila)</t>
  </si>
  <si>
    <t>Revisão final de conteúdo (valor por página)</t>
  </si>
  <si>
    <t>Construção de matriz curricular Oikos</t>
  </si>
  <si>
    <t>Atividades pedagógicas Oikos</t>
  </si>
  <si>
    <t>PRODUÇÃO AUDIOVISUAL</t>
  </si>
  <si>
    <t xml:space="preserve">Produção musical Paideia </t>
  </si>
  <si>
    <t>Produção musical Biblos 5 e 6</t>
  </si>
  <si>
    <t>Composição (letra + melodia) com gravação de guia/voz definitiva PAIDEIA</t>
  </si>
  <si>
    <t>Composição (letra + melodia) com gravação de guia/voz definitiva BIBLOS</t>
  </si>
  <si>
    <t>Plataforma registro de músicas Mamu</t>
  </si>
  <si>
    <t>Produção de narrações / áudio-livro (se vier no futuro)</t>
  </si>
  <si>
    <t>Gravação de videoaulas para a plataforma</t>
  </si>
  <si>
    <t>Captação e edição de imagens em vídeo (vídeos para a plataforma)</t>
  </si>
  <si>
    <t>PRODUÇÃO GRÁFICA / IMPRESSÃO</t>
  </si>
  <si>
    <t>Produção dos livros de inglês</t>
  </si>
  <si>
    <t>Produção dos livros Infantil - interdisciplinares 1, 2 e livro de inglês</t>
  </si>
  <si>
    <t>Produção dos livros - estoque complementar</t>
  </si>
  <si>
    <t>Produção dos livros Fund 1 - 1º Ano</t>
  </si>
  <si>
    <t>Produção dos livros Infantil - interdsciplinares 3 e 4</t>
  </si>
  <si>
    <t>Produção dos livros do Oikos</t>
  </si>
  <si>
    <t>Produção do livro Biblos 1, 2, 3 e 4</t>
  </si>
  <si>
    <t>Produção dos livros do professor infantil</t>
  </si>
  <si>
    <t>Impressões do capitulo 1 e 2 dos livros do primeiro ano</t>
  </si>
  <si>
    <t>Produção dos flashcards do infantil para envio para os professores das escolas</t>
  </si>
  <si>
    <t>TECNOLOGIA</t>
  </si>
  <si>
    <t>Aquisição e licenciamento de softwares educacionais</t>
  </si>
  <si>
    <t>Aquisição de 2 monitores para equipe de atendimento</t>
  </si>
  <si>
    <t>Aquisição de 2 celulares institucionais para o comercial pedagógico (Raissa e novo contratado)</t>
  </si>
  <si>
    <t>Compra e manutenção de computadores e equipamentos tecnológicos</t>
  </si>
  <si>
    <t>Desenvolvimento e melhorias na plataforma do PAIDEIA, OIKOS e BIBLOS</t>
  </si>
  <si>
    <t>Repaginação do Site Cidade Viva Education</t>
  </si>
  <si>
    <t>Aquisição de sistema de assinaturas e gestão de contratos</t>
  </si>
  <si>
    <t>Valor pago por hospedagens de sistemas tecnológicos (Panda, repositórios etc)</t>
  </si>
  <si>
    <t>Streaming de IA</t>
  </si>
  <si>
    <t>Pagamento Manuntenção Eduskills</t>
  </si>
  <si>
    <t>Pagamento parcela 4/4 SETUP Plataforma Eduskills</t>
  </si>
  <si>
    <t>MARKETING &amp; PUBLICIDADE</t>
  </si>
  <si>
    <t>Conteúdo para publicação em redes sociais e sites do Cidade Viva Education</t>
  </si>
  <si>
    <t>Tráfego para as mídias digitais e estratégias de marketing</t>
  </si>
  <si>
    <t>Criação de designer landing page e criativos</t>
  </si>
  <si>
    <t>Criação de identidade visual</t>
  </si>
  <si>
    <t>Materiais gráficos e itens de papelaria utilizados para marketing</t>
  </si>
  <si>
    <t>Participação e exposição na Expohomeschooling 2026</t>
  </si>
  <si>
    <t>Organização e execução do 2º Congresso de Educação Cristã Clássica em SP</t>
  </si>
  <si>
    <t>Participação em outros eventos para brand de marca e de venda</t>
  </si>
  <si>
    <t>Realização de 4 lives durante o ano</t>
  </si>
  <si>
    <t>Podcast Semanal sobre Educação Cristã Clássica</t>
  </si>
  <si>
    <t xml:space="preserve">Gestor de tráfego - Lucas </t>
  </si>
  <si>
    <t>Designer - Gerlucia Lima</t>
  </si>
  <si>
    <t>Video Maker</t>
  </si>
  <si>
    <t>Copywriter. </t>
  </si>
  <si>
    <t>Social mídia</t>
  </si>
  <si>
    <t>Gestor de projetos</t>
  </si>
  <si>
    <t>COMERCIAL &amp; RELACIONAMENTO</t>
  </si>
  <si>
    <t>Pagamento de bolsas para FICV</t>
  </si>
  <si>
    <t>Pagamento de associação a ASCI</t>
  </si>
  <si>
    <t>Produção de placas do Cidade Viva Education</t>
  </si>
  <si>
    <t>Doação de livros (Projeto social Capim Kids)</t>
  </si>
  <si>
    <t>Produtos de cortesia e bonificação para escolas para campanha comercial</t>
  </si>
  <si>
    <t>Elaboração de material de encantamento (Planners, cortesias, amostras de livros, garrafas, botons, canetas etc)</t>
  </si>
  <si>
    <t>LOGÍSTICA &amp; DISTRIBUIÇÃO</t>
  </si>
  <si>
    <t>Despesas com correspondência PAIDEIA</t>
  </si>
  <si>
    <t>Despesas com correspondência OIKOS</t>
  </si>
  <si>
    <t>Despesas com correspondência BIBLOS</t>
  </si>
  <si>
    <t>Aquisição de impressora, balança, caixas e etc (Correios)</t>
  </si>
  <si>
    <t>Despesa com logística via sedex correios</t>
  </si>
  <si>
    <t>TAXAS &amp; SERVIÇOS FINANCEIROS</t>
  </si>
  <si>
    <t>ISS e DARF</t>
  </si>
  <si>
    <t>Tarifas bancárias relacionadas à conta corrente</t>
  </si>
  <si>
    <t>Taxas relacionadas às lojas da ESKOLARE</t>
  </si>
  <si>
    <t>Taxa de 1,5% sobre faturamento ESKOLARE (débito automático) -valor estimado apenas sobre o preço de aquisição</t>
  </si>
  <si>
    <t>Comissão das escolas sobre a venda dos livros Paideia</t>
  </si>
  <si>
    <t>Pagamento de empréstimo junto a fundação para investimentos no sistema</t>
  </si>
  <si>
    <t>Perdas (inadimplência) 2% sobre o valor total de vendas do PAIDEIA</t>
  </si>
  <si>
    <t>REGULATÓRIOS, PROPRIEDADE INTELECTUAL &amp; TAXAS LEGAIS</t>
  </si>
  <si>
    <t>ISBN – registro e catalogação dos livros - 1º Ano Fund 1</t>
  </si>
  <si>
    <t>Música e arte</t>
  </si>
  <si>
    <t>ISBN – registro e catalogação dos livros - 2º Ano Fund 1</t>
  </si>
  <si>
    <t>ISBN – registro e catalogação dos livros - 3º Ano Fund 1</t>
  </si>
  <si>
    <t>ISBN – registro e catalogação dos livros - 4º Ano Fund 1</t>
  </si>
  <si>
    <t>ISBN – registro e catalogação dos livros - 5º Ano Fund 1</t>
  </si>
  <si>
    <t xml:space="preserve">ISBN – registro e catalogação dos livros </t>
  </si>
  <si>
    <t>Biblos 5 e 6</t>
  </si>
  <si>
    <t>Registro de marcas</t>
  </si>
  <si>
    <t>Assessoria jurídica para encaminhamento de registro de marcas</t>
  </si>
  <si>
    <t>Registro da marca e personagens do sistema</t>
  </si>
  <si>
    <t>Registro de marca da Mamu</t>
  </si>
  <si>
    <t>Aquisição dos direitos autorais da Mamu</t>
  </si>
  <si>
    <t>Registro de músicas</t>
  </si>
  <si>
    <t>VIAGENS &amp; REPRESENTAÇÃO</t>
  </si>
  <si>
    <t>Hospedagem para viagens de consultoria</t>
  </si>
  <si>
    <t>Transporte para viagens de consultoria (UBER)</t>
  </si>
  <si>
    <t>Diárias para viagens de consultoria</t>
  </si>
  <si>
    <t>Passagens aereas para participação em eventos e realização de consultoria</t>
  </si>
  <si>
    <t>Aluguel de veículos para realização de consultoria</t>
  </si>
  <si>
    <t>INFRAESTRUTURA &amp; UTILIDADES</t>
  </si>
  <si>
    <t>Material de expediente</t>
  </si>
  <si>
    <t>Energia</t>
  </si>
  <si>
    <t>Distribuição de água e saneamento</t>
  </si>
  <si>
    <t>Despesas com telefonia</t>
  </si>
  <si>
    <t>Despesas com internet</t>
  </si>
  <si>
    <t>Segurança</t>
  </si>
  <si>
    <t>Despesas com serviços gerais</t>
  </si>
  <si>
    <t>Despesas com aluguel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</si>
</sst>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Verdana"/>
      <family val="2"/>
    </font>
    <font>
      <b/>
      <sz val="12"/>
      <color theme="1"/>
      <name val="Verdana"/>
      <family val="2"/>
    </font>
    <font>
      <b/>
      <sz val="12"/>
      <color theme="0"/>
      <name val="Verdana"/>
      <family val="2"/>
    </font>
    <font>
      <b/>
      <i/>
      <sz val="12"/>
      <color theme="1"/>
      <name val="Verdana"/>
      <family val="2"/>
    </font>
    <font>
      <sz val="12"/>
      <color rgb="FF000000"/>
      <name val="Verdana"/>
      <family val="2"/>
    </font>
    <font>
      <sz val="12"/>
      <color rgb="FF0000FF"/>
      <name val="Verdana"/>
      <family val="2"/>
    </font>
    <font>
      <sz val="12"/>
      <color theme="1"/>
      <name val="Verdana"/>
      <family val="2"/>
    </font>
    <font>
      <sz val="12"/>
      <name val="Verdana"/>
      <family val="2"/>
    </font>
    <font>
      <sz val="12"/>
      <color rgb="FFA61C00"/>
      <name val="Verdana"/>
      <family val="2"/>
    </font>
    <font>
      <sz val="12"/>
      <color rgb="FF0A0A0A"/>
      <name val="Verdana"/>
      <family val="2"/>
    </font>
    <font>
      <sz val="12"/>
      <color rgb="FFFF0000"/>
      <name val="Verdana"/>
      <family val="2"/>
    </font>
  </fonts>
  <fills count="25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rgb="FFE06666"/>
      </patternFill>
    </fill>
    <fill>
      <patternFill patternType="solid">
        <fgColor theme="0"/>
        <bgColor rgb="FFF4CCCC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3C78D8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CC4125"/>
        <bgColor rgb="FFCC4125"/>
      </patternFill>
    </fill>
    <fill>
      <patternFill patternType="solid">
        <fgColor rgb="FFE6B8AF"/>
        <bgColor rgb="FFE6B8AF"/>
      </patternFill>
    </fill>
    <fill>
      <patternFill patternType="solid">
        <fgColor theme="9" tint="0.39997558519241921"/>
        <bgColor rgb="FFD8D8D8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0" xfId="0" applyFont="1" applyAlignment="1">
      <alignment vertical="center" wrapText="1"/>
    </xf>
    <xf numFmtId="4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4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4" fontId="4" fillId="3" borderId="1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4" fontId="5" fillId="4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4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vertical="center" wrapText="1"/>
    </xf>
    <xf numFmtId="4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4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4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4" fontId="5" fillId="7" borderId="1" xfId="0" applyNumberFormat="1" applyFont="1" applyFill="1" applyBorder="1" applyAlignment="1">
      <alignment horizontal="center" vertical="center"/>
    </xf>
    <xf numFmtId="2" fontId="5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vertical="center" wrapText="1"/>
    </xf>
    <xf numFmtId="4" fontId="8" fillId="8" borderId="1" xfId="0" applyNumberFormat="1" applyFont="1" applyFill="1" applyBorder="1" applyAlignment="1">
      <alignment horizontal="center" vertical="center"/>
    </xf>
    <xf numFmtId="2" fontId="8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vertical="center" wrapText="1"/>
    </xf>
    <xf numFmtId="4" fontId="6" fillId="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 wrapText="1"/>
    </xf>
    <xf numFmtId="4" fontId="5" fillId="9" borderId="1" xfId="0" applyNumberFormat="1" applyFont="1" applyFill="1" applyBorder="1" applyAlignment="1">
      <alignment horizontal="center" vertical="center"/>
    </xf>
    <xf numFmtId="2" fontId="3" fillId="10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vertical="center" wrapText="1"/>
    </xf>
    <xf numFmtId="4" fontId="5" fillId="11" borderId="1" xfId="0" applyNumberFormat="1" applyFont="1" applyFill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vertical="center" wrapText="1"/>
    </xf>
    <xf numFmtId="4" fontId="8" fillId="12" borderId="1" xfId="0" applyNumberFormat="1" applyFont="1" applyFill="1" applyBorder="1" applyAlignment="1">
      <alignment horizontal="center" vertical="center"/>
    </xf>
    <xf numFmtId="2" fontId="8" fillId="12" borderId="1" xfId="0" applyNumberFormat="1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vertical="center" wrapText="1"/>
    </xf>
    <xf numFmtId="4" fontId="8" fillId="12" borderId="2" xfId="0" applyNumberFormat="1" applyFont="1" applyFill="1" applyBorder="1" applyAlignment="1">
      <alignment horizontal="center" vertical="center"/>
    </xf>
    <xf numFmtId="2" fontId="8" fillId="12" borderId="2" xfId="0" applyNumberFormat="1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vertical="center" wrapText="1"/>
    </xf>
    <xf numFmtId="0" fontId="8" fillId="14" borderId="3" xfId="0" applyFont="1" applyFill="1" applyBorder="1" applyAlignment="1">
      <alignment vertical="center" wrapText="1"/>
    </xf>
    <xf numFmtId="4" fontId="1" fillId="14" borderId="3" xfId="0" applyNumberFormat="1" applyFont="1" applyFill="1" applyBorder="1" applyAlignment="1">
      <alignment vertical="center" wrapText="1"/>
    </xf>
    <xf numFmtId="4" fontId="1" fillId="14" borderId="4" xfId="0" applyNumberFormat="1" applyFont="1" applyFill="1" applyBorder="1" applyAlignment="1">
      <alignment vertical="center" wrapText="1"/>
    </xf>
    <xf numFmtId="4" fontId="8" fillId="14" borderId="3" xfId="0" applyNumberFormat="1" applyFont="1" applyFill="1" applyBorder="1" applyAlignment="1">
      <alignment horizontal="center" vertical="center" wrapText="1"/>
    </xf>
    <xf numFmtId="4" fontId="1" fillId="14" borderId="5" xfId="0" applyNumberFormat="1" applyFont="1" applyFill="1" applyBorder="1" applyAlignment="1">
      <alignment vertical="center" wrapText="1"/>
    </xf>
    <xf numFmtId="0" fontId="8" fillId="14" borderId="3" xfId="0" applyFont="1" applyFill="1" applyBorder="1" applyAlignment="1">
      <alignment horizontal="center" vertical="center" wrapText="1"/>
    </xf>
    <xf numFmtId="0" fontId="8" fillId="12" borderId="6" xfId="0" applyFont="1" applyFill="1" applyBorder="1" applyAlignment="1">
      <alignment vertical="center" wrapText="1"/>
    </xf>
    <xf numFmtId="4" fontId="8" fillId="12" borderId="6" xfId="0" applyNumberFormat="1" applyFont="1" applyFill="1" applyBorder="1" applyAlignment="1">
      <alignment horizontal="center" vertical="center"/>
    </xf>
    <xf numFmtId="4" fontId="8" fillId="12" borderId="7" xfId="0" applyNumberFormat="1" applyFont="1" applyFill="1" applyBorder="1" applyAlignment="1">
      <alignment horizontal="center" vertical="center"/>
    </xf>
    <xf numFmtId="4" fontId="8" fillId="12" borderId="8" xfId="0" applyNumberFormat="1" applyFont="1" applyFill="1" applyBorder="1" applyAlignment="1">
      <alignment horizontal="center" vertical="center"/>
    </xf>
    <xf numFmtId="2" fontId="8" fillId="12" borderId="6" xfId="0" applyNumberFormat="1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vertical="center" wrapText="1"/>
    </xf>
    <xf numFmtId="4" fontId="5" fillId="15" borderId="1" xfId="0" applyNumberFormat="1" applyFont="1" applyFill="1" applyBorder="1" applyAlignment="1">
      <alignment horizontal="center" vertical="center"/>
    </xf>
    <xf numFmtId="2" fontId="5" fillId="15" borderId="1" xfId="0" applyNumberFormat="1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vertical="center" wrapText="1"/>
    </xf>
    <xf numFmtId="4" fontId="8" fillId="16" borderId="1" xfId="0" applyNumberFormat="1" applyFont="1" applyFill="1" applyBorder="1" applyAlignment="1">
      <alignment horizontal="center" vertical="center"/>
    </xf>
    <xf numFmtId="2" fontId="8" fillId="16" borderId="1" xfId="0" applyNumberFormat="1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vertical="center" wrapText="1"/>
    </xf>
    <xf numFmtId="4" fontId="5" fillId="17" borderId="1" xfId="0" applyNumberFormat="1" applyFont="1" applyFill="1" applyBorder="1" applyAlignment="1">
      <alignment horizontal="center" vertical="center"/>
    </xf>
    <xf numFmtId="2" fontId="5" fillId="17" borderId="1" xfId="0" applyNumberFormat="1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vertical="center" wrapText="1"/>
    </xf>
    <xf numFmtId="4" fontId="8" fillId="18" borderId="1" xfId="0" applyNumberFormat="1" applyFont="1" applyFill="1" applyBorder="1" applyAlignment="1">
      <alignment horizontal="center" vertical="center"/>
    </xf>
    <xf numFmtId="2" fontId="8" fillId="18" borderId="1" xfId="0" applyNumberFormat="1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vertical="center" wrapText="1"/>
    </xf>
    <xf numFmtId="4" fontId="5" fillId="19" borderId="1" xfId="0" applyNumberFormat="1" applyFont="1" applyFill="1" applyBorder="1" applyAlignment="1">
      <alignment horizontal="center" vertical="center"/>
    </xf>
    <xf numFmtId="2" fontId="5" fillId="19" borderId="1" xfId="0" applyNumberFormat="1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vertical="center" wrapText="1"/>
    </xf>
    <xf numFmtId="4" fontId="8" fillId="20" borderId="1" xfId="0" applyNumberFormat="1" applyFont="1" applyFill="1" applyBorder="1" applyAlignment="1">
      <alignment horizontal="center" vertical="center"/>
    </xf>
    <xf numFmtId="2" fontId="8" fillId="20" borderId="1" xfId="0" applyNumberFormat="1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vertical="center" wrapText="1"/>
    </xf>
    <xf numFmtId="4" fontId="5" fillId="21" borderId="1" xfId="0" applyNumberFormat="1" applyFont="1" applyFill="1" applyBorder="1" applyAlignment="1">
      <alignment horizontal="center" vertical="center"/>
    </xf>
    <xf numFmtId="2" fontId="5" fillId="21" borderId="1" xfId="0" applyNumberFormat="1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vertical="center" wrapText="1"/>
    </xf>
    <xf numFmtId="4" fontId="8" fillId="22" borderId="1" xfId="0" applyNumberFormat="1" applyFont="1" applyFill="1" applyBorder="1" applyAlignment="1">
      <alignment horizontal="center" vertical="center"/>
    </xf>
    <xf numFmtId="2" fontId="8" fillId="22" borderId="1" xfId="0" applyNumberFormat="1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vertical="center" wrapText="1"/>
    </xf>
    <xf numFmtId="4" fontId="5" fillId="23" borderId="1" xfId="0" applyNumberFormat="1" applyFont="1" applyFill="1" applyBorder="1" applyAlignment="1">
      <alignment horizontal="center" vertical="center"/>
    </xf>
    <xf numFmtId="2" fontId="5" fillId="23" borderId="1" xfId="0" applyNumberFormat="1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vertical="center" wrapText="1"/>
    </xf>
    <xf numFmtId="4" fontId="8" fillId="24" borderId="1" xfId="0" applyNumberFormat="1" applyFont="1" applyFill="1" applyBorder="1" applyAlignment="1">
      <alignment horizontal="center" vertical="center"/>
    </xf>
    <xf numFmtId="2" fontId="8" fillId="24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4" fontId="6" fillId="6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vertical="center" wrapText="1"/>
    </xf>
    <xf numFmtId="4" fontId="8" fillId="5" borderId="1" xfId="0" applyNumberFormat="1" applyFont="1" applyFill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4" fontId="12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4" fontId="3" fillId="6" borderId="1" xfId="0" applyNumberFormat="1" applyFont="1" applyFill="1" applyBorder="1" applyAlignment="1">
      <alignment horizontal="center" vertical="center"/>
    </xf>
    <xf numFmtId="4" fontId="8" fillId="6" borderId="1" xfId="0" applyNumberFormat="1" applyFont="1" applyFill="1" applyBorder="1" applyAlignment="1">
      <alignment horizontal="center" vertical="center"/>
    </xf>
    <xf numFmtId="4" fontId="5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enato\Desktop\Or&#231;amento_2026_Premissas_Completas.xlsx" TargetMode="External"/><Relationship Id="rId1" Type="http://schemas.openxmlformats.org/officeDocument/2006/relationships/externalLinkPath" Target="Or&#231;amento_2026_Premissas_Complet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çamento geral_2026_detalhado"/>
      <sheetName val="Prev_desp_resumo"/>
      <sheetName val="Fluxo_operacional"/>
      <sheetName val="Receitas_paideia_2026"/>
      <sheetName val="previsão_fluxomensal"/>
      <sheetName val="premissas_despesas"/>
      <sheetName val="premissas_receitas"/>
      <sheetName val="prod_fund1"/>
      <sheetName val="Boletos Escolas 2026"/>
      <sheetName val="Pedido Extra - Estoque"/>
      <sheetName val="Cortesias"/>
      <sheetName val="Folha"/>
      <sheetName val="Orçamento_grafica"/>
      <sheetName val="Folha 2"/>
      <sheetName val="Folha 3"/>
    </sheetNames>
    <sheetDataSet>
      <sheetData sheetId="0"/>
      <sheetData sheetId="1"/>
      <sheetData sheetId="2"/>
      <sheetData sheetId="3"/>
      <sheetData sheetId="4">
        <row r="27">
          <cell r="F27">
            <v>222947.06666666668</v>
          </cell>
          <cell r="G27">
            <v>222947.06666666668</v>
          </cell>
          <cell r="H27">
            <v>222947.06666666668</v>
          </cell>
          <cell r="I27">
            <v>222947.06666666668</v>
          </cell>
          <cell r="J27">
            <v>159797.06666666665</v>
          </cell>
          <cell r="K27">
            <v>148645.66666666669</v>
          </cell>
          <cell r="L27">
            <v>143645.66666666669</v>
          </cell>
          <cell r="M27">
            <v>143645.66666666669</v>
          </cell>
          <cell r="N27">
            <v>124245.66666666667</v>
          </cell>
          <cell r="O27">
            <v>124245.66666666667</v>
          </cell>
          <cell r="P27">
            <v>91745.666666666672</v>
          </cell>
          <cell r="Q27">
            <v>91745.666666666672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D5CD-B20A-41CA-8C02-1D414D5D7DB5}">
  <dimension ref="A1:O383"/>
  <sheetViews>
    <sheetView tabSelected="1" topLeftCell="A12" zoomScale="70" zoomScaleNormal="70" workbookViewId="0">
      <selection activeCell="I14" sqref="I14"/>
    </sheetView>
  </sheetViews>
  <sheetFormatPr defaultColWidth="43" defaultRowHeight="15" x14ac:dyDescent="0.25"/>
  <cols>
    <col min="1" max="1" width="43.42578125" bestFit="1" customWidth="1"/>
    <col min="2" max="2" width="15.28515625" bestFit="1" customWidth="1"/>
    <col min="3" max="12" width="16.28515625" bestFit="1" customWidth="1"/>
    <col min="13" max="13" width="15.28515625" bestFit="1" customWidth="1"/>
    <col min="14" max="14" width="18.7109375" bestFit="1" customWidth="1"/>
    <col min="15" max="15" width="13.85546875" bestFit="1" customWidth="1"/>
  </cols>
  <sheetData>
    <row r="1" spans="1:15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</row>
    <row r="2" spans="1:15" x14ac:dyDescent="0.25">
      <c r="A2" s="4" t="s">
        <v>14</v>
      </c>
      <c r="B2" s="5">
        <f>SUM(B5:B7,B10:B19,B22:B31,B34:B41,B43:B50,B52:B59,B61:B68,B70:B76,B78:B85,B87:B94,B96:B103,B105:B112,B114:B121,B123:B130,B132:B139,B141:B148,B150:B157,B159:B166,B168:B175,B177:B184,B186:B193,B195:B202,B204:B211,B213:B220,B222:B229,B231:B237,B239:B243,B245:B252,B254:B263,B265:B275,B277:B292,B294:B299,B301:B305,B307:B313,B316:B323,B325:B332,B334:B341,B343:B350,B352:B359,B361,B363:B367,B369:B373,B375:B383)</f>
        <v>82466.717333333349</v>
      </c>
      <c r="C2" s="5">
        <f>SUM(C5:C7,C10:C19,C22:C31,C34:C41,C43:C50,C52:C59,C61:C68,C70:C76,C78:C85,C87:C94,C96:C103,C105:C112,C114:C121,C123:C130,C132:C139,C141:C148,C150:C157,C159:C166,C168:C175,C177:C184,C186:C193,C195:C202,C204:C211,C213:C220,C222:C229,C231:C237,C239:C243,C245:C252,C254:C263,C265:C275,C277:C292,C294:C299,C301:C305,C307:C313,C316:C323,C325:C332,C334:C341,C343:C350,C352:C359,C361,C363:C367,C369:C373,C375:C383)</f>
        <v>202956.06448484847</v>
      </c>
      <c r="D2" s="5">
        <f>SUM(D5:D7,D10:D19,D22:D31,D34:D41,D43:D50,D52:D59,D61:D68,D70:D76,D78:D85,D87:D94,D96:D103,D105:D112,D114:D121,D123:D130,D132:D139,D141:D148,D150:D157,D159:D166,D168:D175,D177:D184,D186:D193,D195:D202,D204:D211,D213:D220,D222:D229,D231:D237,D239:D243,D245:D252,D254:D263,D265:D275,D277:D292,D294:D299,D301:D305,D307:D313,D316:D323,D325:D332,D334:D341,D343:D350,D352:D359,D361,D363:D367,D369:D373,D375:D383)</f>
        <v>204123.35181818181</v>
      </c>
      <c r="E2" s="5">
        <f>SUM(E5:E7,E10:E19,E22:E31,E34:E41,E43:E50,E52:E59,E61:E68,E70:E76,E78:E85,E87:E94,E96:E103,E105:E112,E114:E121,E123:E130,E132:E139,E141:E148,E150:E157,E159:E166,E168:E175,E177:E184,E186:E193,E195:E202,E204:E211,E213:E220,E222:E229,E231:E237,E239:E243,E245:E252,E254:E263,E265:E275,E277:E292,E294:E299,E301:E305,E307:E313,E316:E323,E325:E332,E334:E341,E343:E350,E352:E359,E361,E363:E367,E369:E373,E375:E383)</f>
        <v>206223.70515151511</v>
      </c>
      <c r="F2" s="5">
        <f>SUM(F5:F7,F10:F19,F22:F31,F34:F41,F43:F50,F52:F59,F61:F68,F70:F76,F78:F85,F87:F94,F96:F103,F105:F112,F114:F121,F123:F130,F132:F139,F141:F148,F150:F157,F159:F166,F168:F175,F177:F184,F186:F193,F195:F202,F204:F211,F213:F220,F222:F229,F231:F237,F239:F243,F245:F252,F254:F263,F265:F275,F277:F292,F294:F299,F301:F305,F307:F313,F316:F323,F325:F332,F334:F341,F343:F350,F352:F359,F361,F363:F367,F369:F373,F375:F383)</f>
        <v>177140.58515151512</v>
      </c>
      <c r="G2" s="5">
        <f>SUM(G5:G7,G10:G19,G22:G31,G34:G41,G43:G50,G52:G59,G61:G68,G70:G76,G78:G85,G87:G94,G96:G103,G105:G112,G114:G121,G123:G130,G132:G139,G141:G148,G150:G157,G159:G166,G168:G175,G177:G184,G186:G193,G195:G202,G204:G211,G213:G220,G222:G229,G231:G237,G239:G243,G245:G252,G254:G263,G265:G275,G277:G292,G294:G299,G301:G305,G307:G313,G316:G323,G325:G332,G334:G341,G343:G350,G352:G359,G361,G363:G367,G369:G373,G375:G383)</f>
        <v>208980.19715151514</v>
      </c>
      <c r="H2" s="5">
        <f>SUM(H5:H7,H10:H19,H22:H31,H34:H41,H43:H50,H52:H59,H61:H68,H70:H76,H78:H85,H87:H94,H96:H103,H105:H112,H114:H121,H123:H130,H132:H139,H141:H148,H150:H157,H159:H166,H168:H175,H177:H184,H186:H193,H195:H202,H204:H211,H213:H220,H222:H229,H231:H237,H239:H243,H245:H252,H254:H263,H265:H275,H277:H292,H294:H299,H301:H305,H307:H313,H316:H323,H325:H332,H334:H341,H343:H350,H352:H359,H361,H363:H367,H369:H373,H375:H383)</f>
        <v>204466.13048484849</v>
      </c>
      <c r="I2" s="5">
        <f>SUM(I5:I7,I10:I19,I22:I31,I34:I41,I43:I50,I52:I59,I61:I68,I70:I76,I78:I85,I87:I94,I96:I103,I105:I112,I114:I121,I123:I130,I132:I139,I141:I148,I150:I157,I159:I166,I168:I175,I177:I184,I186:I193,I195:I202,I204:I211,I213:I220,I222:I229,I231:I237,I239:I243,I245:I252,I254:I263,I265:I275,I277:I292,I294:I299,I301:I305,I307:I313,I316:I323,I325:I332,I334:I341,I343:I350,I352:I359,I361,I363:I367,I369:I373,I375:I383)</f>
        <v>175138.26108008658</v>
      </c>
      <c r="J2" s="5">
        <f>SUM(J5:J7,J10:J19,J22:J31,J34:J41,J43:J50,J52:J59,J61:J68,J70:J76,J78:J85,J87:J94,J96:J103,J105:J112,J114:J121,J123:J130,J132:J139,J141:J148,J150:J157,J159:J166,J168:J175,J177:J184,J186:J193,J195:J202,J204:J211,J213:J220,J222:J229,J231:J237,J239:J243,J245:J252,J254:J263,J265:J275,J277:J292,J294:J299,J301:J305,J307:J313,J316:J323,J325:J332,J334:J341,J343:J350,J352:J359,J361,J363:J367,J369:J373,J375:J383)</f>
        <v>153275.64108008656</v>
      </c>
      <c r="K2" s="5">
        <f>SUM(K5:K7,K10:K19,K22:K31,K34:K41,K43:K50,K52:K59,K61:K68,K70:K76,K78:K85,K87:K94,K96:K103,K105:K112,K114:K121,K123:K130,K132:K139,K141:K148,K150:K157,K159:K166,K168:K175,K177:K184,K186:K193,K195:K202,K204:K211,K213:K220,K222:K229,K231:K237,K239:K243,K245:K252,K254:K263,K265:K275,K277:K292,K294:K299,K301:K305,K307:K313,K316:K323,K325:K332,K334:K341,K343:K350,K352:K359,K361,K363:K367,K369:K373,K375:K383)</f>
        <v>140694.79643722941</v>
      </c>
      <c r="L2" s="5">
        <f>SUM(L5:L7,L10:L19,L22:L31,L34:L41,L43:L50,L52:L59,L61:L68,L70:L76,L78:L85,L87:L94,L96:L103,L105:L112,L114:L121,L123:L130,L132:L139,L141:L148,L150:L157,L159:L166,L168:L175,L177:L184,L186:L193,L195:L202,L204:L211,L213:L220,L222:L229,L231:L237,L239:L243,L245:L252,L254:L263,L265:L275,L277:L292,L294:L299,L301:L305,L307:L313,L316:L323,L325:L332,L334:L341,L343:L350,L352:L359,L361,L363:L367,L369:L373,L375:L383)</f>
        <v>127563.64977056278</v>
      </c>
      <c r="M2" s="5">
        <f>SUM(M5:M7,M10:M19,M22:M31,M34:M41,M43:M50,M52:M59,M61:M68,M70:M76,M78:M85,M87:M94,M96:M103,M105:M112,M114:M121,M123:M130,M132:M139,M141:M148,M150:M157,M159:M166,M168:M175,M177:M184,M186:M193,M195:M202,M204:M211,M213:M220,M222:M229,M231:M237,M239:M243,M245:M252,M254:M263,M265:M275,M277:M292,M294:M299,M301:M305,M307:M313,M316:M323,M325:M332,M334:M341,M343:M350,M352:M359,M361,M363:M367,M369:M373,M375:M383)</f>
        <v>91595.070484848489</v>
      </c>
      <c r="N2" s="5">
        <f>SUM(N5:N7,N10:N19,N22:N31,N34:N41,N43:N50,N52:N59,N61:N68,N70:N76,N78:N85,N87:N94,N96:N103,N105:N112,N114:N121,N123:N130,N132:N139,N141:N148,N150:N157,N159:N166,N168:N175,N177:N184,N186:N193,N195:N202,N204:N211,N213:N220,N222:N229,N231:N237,N239:N243,N245:N252,N254:N263,N265:N275,N277:N292,N294:N299,N301:N305,N307:N313,N316:N323,N325:N332,N334:N341,N343:N350,N352:N359,N361,N363:N367,N369:N373,N375:N383)</f>
        <v>1974624.170428572</v>
      </c>
      <c r="O2" s="6">
        <f t="shared" ref="O2:O7" si="0">N2/$N$2*100</f>
        <v>100</v>
      </c>
    </row>
    <row r="3" spans="1:15" x14ac:dyDescent="0.25">
      <c r="A3" s="7" t="s">
        <v>15</v>
      </c>
      <c r="B3" s="8">
        <f>SUM(B5:B7,B10:B19)</f>
        <v>42695.126000000004</v>
      </c>
      <c r="C3" s="8">
        <f t="shared" ref="C3:N3" si="1">SUM(C5:C7,C10:C19)</f>
        <v>42578.288</v>
      </c>
      <c r="D3" s="8">
        <f t="shared" si="1"/>
        <v>54795.525333333338</v>
      </c>
      <c r="E3" s="8">
        <f t="shared" si="1"/>
        <v>54795.525333333338</v>
      </c>
      <c r="F3" s="8">
        <f t="shared" si="1"/>
        <v>54795.525333333338</v>
      </c>
      <c r="G3" s="8">
        <f t="shared" si="1"/>
        <v>54795.525333333338</v>
      </c>
      <c r="H3" s="8">
        <f t="shared" si="1"/>
        <v>54795.525333333338</v>
      </c>
      <c r="I3" s="8">
        <f t="shared" si="1"/>
        <v>54795.525333333338</v>
      </c>
      <c r="J3" s="8">
        <f t="shared" si="1"/>
        <v>54795.525333333338</v>
      </c>
      <c r="K3" s="8">
        <f t="shared" si="1"/>
        <v>54795.525333333338</v>
      </c>
      <c r="L3" s="8">
        <f t="shared" si="1"/>
        <v>54795.525333333338</v>
      </c>
      <c r="M3" s="8">
        <f t="shared" si="1"/>
        <v>54795.525333333338</v>
      </c>
      <c r="N3" s="8">
        <f t="shared" si="1"/>
        <v>633228.6673333334</v>
      </c>
      <c r="O3" s="9">
        <f t="shared" si="0"/>
        <v>32.068313394335576</v>
      </c>
    </row>
    <row r="4" spans="1:15" x14ac:dyDescent="0.25">
      <c r="A4" s="10" t="s">
        <v>16</v>
      </c>
      <c r="B4" s="11">
        <f>SUM(B5:B7)</f>
        <v>14436.036</v>
      </c>
      <c r="C4" s="11">
        <f t="shared" ref="C4:N4" si="2">SUM(C5:C7)</f>
        <v>14319.198</v>
      </c>
      <c r="D4" s="11">
        <f t="shared" si="2"/>
        <v>16236.435333333335</v>
      </c>
      <c r="E4" s="11">
        <f t="shared" si="2"/>
        <v>16236.435333333335</v>
      </c>
      <c r="F4" s="11">
        <f t="shared" si="2"/>
        <v>16236.435333333335</v>
      </c>
      <c r="G4" s="11">
        <f t="shared" si="2"/>
        <v>16236.435333333335</v>
      </c>
      <c r="H4" s="11">
        <f t="shared" si="2"/>
        <v>16236.435333333335</v>
      </c>
      <c r="I4" s="11">
        <f t="shared" si="2"/>
        <v>16236.435333333335</v>
      </c>
      <c r="J4" s="11">
        <f t="shared" si="2"/>
        <v>16236.435333333335</v>
      </c>
      <c r="K4" s="11">
        <f t="shared" si="2"/>
        <v>16236.435333333335</v>
      </c>
      <c r="L4" s="11">
        <f t="shared" si="2"/>
        <v>16236.435333333335</v>
      </c>
      <c r="M4" s="11">
        <f t="shared" si="2"/>
        <v>16236.435333333335</v>
      </c>
      <c r="N4" s="11">
        <f t="shared" si="2"/>
        <v>191119.58733333336</v>
      </c>
      <c r="O4" s="12">
        <f t="shared" si="0"/>
        <v>9.6787829398367382</v>
      </c>
    </row>
    <row r="5" spans="1:15" ht="30" x14ac:dyDescent="0.25">
      <c r="A5" s="13" t="s">
        <v>17</v>
      </c>
      <c r="B5" s="14">
        <f t="shared" ref="B5:C5" si="3">2523.92*1.8</f>
        <v>4543.0560000000005</v>
      </c>
      <c r="C5" s="14">
        <f t="shared" si="3"/>
        <v>4543.0560000000005</v>
      </c>
      <c r="D5" s="14">
        <f t="shared" ref="D5:M5" si="4">3488.9*1.8</f>
        <v>6280.02</v>
      </c>
      <c r="E5" s="14">
        <f t="shared" si="4"/>
        <v>6280.02</v>
      </c>
      <c r="F5" s="14">
        <f t="shared" si="4"/>
        <v>6280.02</v>
      </c>
      <c r="G5" s="14">
        <f t="shared" si="4"/>
        <v>6280.02</v>
      </c>
      <c r="H5" s="14">
        <f t="shared" si="4"/>
        <v>6280.02</v>
      </c>
      <c r="I5" s="14">
        <f t="shared" si="4"/>
        <v>6280.02</v>
      </c>
      <c r="J5" s="14">
        <f t="shared" si="4"/>
        <v>6280.02</v>
      </c>
      <c r="K5" s="14">
        <f t="shared" si="4"/>
        <v>6280.02</v>
      </c>
      <c r="L5" s="14">
        <f t="shared" si="4"/>
        <v>6280.02</v>
      </c>
      <c r="M5" s="14">
        <f t="shared" si="4"/>
        <v>6280.02</v>
      </c>
      <c r="N5" s="14">
        <f t="shared" ref="N5:N30" si="5">SUM(B5:M5)</f>
        <v>71886.31200000002</v>
      </c>
      <c r="O5" s="15">
        <f t="shared" si="0"/>
        <v>3.6405060302891883</v>
      </c>
    </row>
    <row r="6" spans="1:15" ht="30" x14ac:dyDescent="0.25">
      <c r="A6" s="13" t="s">
        <v>18</v>
      </c>
      <c r="B6" s="14">
        <f t="shared" ref="B6:C6" si="6">2007.2*1.8</f>
        <v>3612.96</v>
      </c>
      <c r="C6" s="14">
        <f t="shared" si="6"/>
        <v>3612.96</v>
      </c>
      <c r="D6" s="14">
        <v>3793.2333333333336</v>
      </c>
      <c r="E6" s="14">
        <v>3793.2333333333336</v>
      </c>
      <c r="F6" s="14">
        <v>3793.2333333333336</v>
      </c>
      <c r="G6" s="14">
        <v>3793.2333333333336</v>
      </c>
      <c r="H6" s="14">
        <v>3793.2333333333336</v>
      </c>
      <c r="I6" s="14">
        <v>3793.2333333333336</v>
      </c>
      <c r="J6" s="14">
        <v>3793.2333333333336</v>
      </c>
      <c r="K6" s="14">
        <v>3793.2333333333336</v>
      </c>
      <c r="L6" s="14">
        <v>3793.2333333333336</v>
      </c>
      <c r="M6" s="14">
        <v>3793.2333333333336</v>
      </c>
      <c r="N6" s="14">
        <f t="shared" si="5"/>
        <v>45158.253333333341</v>
      </c>
      <c r="O6" s="15">
        <f t="shared" si="0"/>
        <v>2.2869290272858458</v>
      </c>
    </row>
    <row r="7" spans="1:15" ht="30" x14ac:dyDescent="0.25">
      <c r="A7" s="13" t="s">
        <v>19</v>
      </c>
      <c r="B7" s="14">
        <f>3488.9*1.8</f>
        <v>6280.02</v>
      </c>
      <c r="C7" s="14">
        <f t="shared" ref="C7:M7" si="7">3423.99*1.8</f>
        <v>6163.1819999999998</v>
      </c>
      <c r="D7" s="14">
        <f t="shared" si="7"/>
        <v>6163.1819999999998</v>
      </c>
      <c r="E7" s="14">
        <f t="shared" si="7"/>
        <v>6163.1819999999998</v>
      </c>
      <c r="F7" s="14">
        <f t="shared" si="7"/>
        <v>6163.1819999999998</v>
      </c>
      <c r="G7" s="14">
        <f t="shared" si="7"/>
        <v>6163.1819999999998</v>
      </c>
      <c r="H7" s="14">
        <f t="shared" si="7"/>
        <v>6163.1819999999998</v>
      </c>
      <c r="I7" s="14">
        <f t="shared" si="7"/>
        <v>6163.1819999999998</v>
      </c>
      <c r="J7" s="14">
        <f t="shared" si="7"/>
        <v>6163.1819999999998</v>
      </c>
      <c r="K7" s="14">
        <f t="shared" si="7"/>
        <v>6163.1819999999998</v>
      </c>
      <c r="L7" s="14">
        <f t="shared" si="7"/>
        <v>6163.1819999999998</v>
      </c>
      <c r="M7" s="14">
        <f t="shared" si="7"/>
        <v>6163.1819999999998</v>
      </c>
      <c r="N7" s="14">
        <f t="shared" si="5"/>
        <v>74075.021999999997</v>
      </c>
      <c r="O7" s="15">
        <f t="shared" si="0"/>
        <v>3.7513478822617055</v>
      </c>
    </row>
    <row r="8" spans="1:15" x14ac:dyDescent="0.25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8"/>
    </row>
    <row r="9" spans="1:15" x14ac:dyDescent="0.25">
      <c r="A9" s="10" t="s">
        <v>20</v>
      </c>
      <c r="B9" s="11">
        <f>SUM(B10:B19)</f>
        <v>28259.09</v>
      </c>
      <c r="C9" s="11">
        <f t="shared" ref="C9:N9" si="8">SUM(C10:C19)</f>
        <v>28259.09</v>
      </c>
      <c r="D9" s="11">
        <f t="shared" si="8"/>
        <v>38559.089999999997</v>
      </c>
      <c r="E9" s="11">
        <f t="shared" si="8"/>
        <v>38559.089999999997</v>
      </c>
      <c r="F9" s="11">
        <f t="shared" si="8"/>
        <v>38559.089999999997</v>
      </c>
      <c r="G9" s="11">
        <f t="shared" si="8"/>
        <v>38559.089999999997</v>
      </c>
      <c r="H9" s="11">
        <f t="shared" si="8"/>
        <v>38559.089999999997</v>
      </c>
      <c r="I9" s="11">
        <f t="shared" si="8"/>
        <v>38559.089999999997</v>
      </c>
      <c r="J9" s="11">
        <f t="shared" si="8"/>
        <v>38559.089999999997</v>
      </c>
      <c r="K9" s="11">
        <f t="shared" si="8"/>
        <v>38559.089999999997</v>
      </c>
      <c r="L9" s="11">
        <f t="shared" si="8"/>
        <v>38559.089999999997</v>
      </c>
      <c r="M9" s="11">
        <f t="shared" si="8"/>
        <v>38559.089999999997</v>
      </c>
      <c r="N9" s="11">
        <f t="shared" si="8"/>
        <v>442109.08000000007</v>
      </c>
      <c r="O9" s="12">
        <f>N9/$N$2*100</f>
        <v>22.389530454498832</v>
      </c>
    </row>
    <row r="10" spans="1:15" ht="30" x14ac:dyDescent="0.25">
      <c r="A10" s="19" t="s">
        <v>21</v>
      </c>
      <c r="B10" s="20">
        <v>5445.91</v>
      </c>
      <c r="C10" s="20">
        <v>5445.91</v>
      </c>
      <c r="D10" s="20">
        <v>5445.91</v>
      </c>
      <c r="E10" s="20">
        <v>5445.91</v>
      </c>
      <c r="F10" s="20">
        <v>5445.91</v>
      </c>
      <c r="G10" s="20">
        <v>5445.91</v>
      </c>
      <c r="H10" s="20">
        <v>5445.91</v>
      </c>
      <c r="I10" s="20">
        <v>5445.91</v>
      </c>
      <c r="J10" s="20">
        <v>5445.91</v>
      </c>
      <c r="K10" s="20">
        <v>5445.91</v>
      </c>
      <c r="L10" s="20">
        <v>5445.91</v>
      </c>
      <c r="M10" s="20">
        <v>5445.91</v>
      </c>
      <c r="N10" s="20">
        <f t="shared" si="5"/>
        <v>65350.920000000013</v>
      </c>
      <c r="O10" s="21">
        <f t="shared" ref="O10:O31" si="9">N10/$N$2*100</f>
        <v>3.3095371250224423</v>
      </c>
    </row>
    <row r="11" spans="1:15" x14ac:dyDescent="0.25">
      <c r="A11" s="19" t="s">
        <v>22</v>
      </c>
      <c r="B11" s="20">
        <v>5445.91</v>
      </c>
      <c r="C11" s="20">
        <v>5445.91</v>
      </c>
      <c r="D11" s="20">
        <v>5445.91</v>
      </c>
      <c r="E11" s="20">
        <v>5445.91</v>
      </c>
      <c r="F11" s="20">
        <v>5445.91</v>
      </c>
      <c r="G11" s="20">
        <v>5445.91</v>
      </c>
      <c r="H11" s="20">
        <v>5445.91</v>
      </c>
      <c r="I11" s="20">
        <v>5445.91</v>
      </c>
      <c r="J11" s="20">
        <v>5445.91</v>
      </c>
      <c r="K11" s="20">
        <v>5445.91</v>
      </c>
      <c r="L11" s="20">
        <v>5445.91</v>
      </c>
      <c r="M11" s="20">
        <v>5445.91</v>
      </c>
      <c r="N11" s="20">
        <f t="shared" si="5"/>
        <v>65350.920000000013</v>
      </c>
      <c r="O11" s="21">
        <f t="shared" si="9"/>
        <v>3.3095371250224423</v>
      </c>
    </row>
    <row r="12" spans="1:15" x14ac:dyDescent="0.25">
      <c r="A12" s="19" t="s">
        <v>23</v>
      </c>
      <c r="B12" s="20">
        <v>5667.27</v>
      </c>
      <c r="C12" s="20">
        <v>5667.27</v>
      </c>
      <c r="D12" s="20">
        <v>5667.27</v>
      </c>
      <c r="E12" s="20">
        <v>5667.27</v>
      </c>
      <c r="F12" s="20">
        <v>5667.27</v>
      </c>
      <c r="G12" s="20">
        <v>5667.27</v>
      </c>
      <c r="H12" s="20">
        <v>5667.27</v>
      </c>
      <c r="I12" s="20">
        <v>5667.27</v>
      </c>
      <c r="J12" s="20">
        <v>5667.27</v>
      </c>
      <c r="K12" s="20">
        <v>5667.27</v>
      </c>
      <c r="L12" s="20">
        <v>5667.27</v>
      </c>
      <c r="M12" s="20">
        <v>5667.27</v>
      </c>
      <c r="N12" s="20">
        <f t="shared" si="5"/>
        <v>68007.24000000002</v>
      </c>
      <c r="O12" s="21">
        <f t="shared" si="9"/>
        <v>3.4440599390232189</v>
      </c>
    </row>
    <row r="13" spans="1:15" ht="30" x14ac:dyDescent="0.25">
      <c r="A13" s="19" t="s">
        <v>24</v>
      </c>
      <c r="B13" s="20">
        <v>5000</v>
      </c>
      <c r="C13" s="20">
        <v>5000</v>
      </c>
      <c r="D13" s="20">
        <v>5000</v>
      </c>
      <c r="E13" s="20">
        <v>5000</v>
      </c>
      <c r="F13" s="20">
        <v>5000</v>
      </c>
      <c r="G13" s="20">
        <v>5000</v>
      </c>
      <c r="H13" s="20">
        <v>5000</v>
      </c>
      <c r="I13" s="20">
        <v>5000</v>
      </c>
      <c r="J13" s="20">
        <v>5000</v>
      </c>
      <c r="K13" s="20">
        <v>5000</v>
      </c>
      <c r="L13" s="20">
        <v>5000</v>
      </c>
      <c r="M13" s="20">
        <v>5000</v>
      </c>
      <c r="N13" s="20">
        <f t="shared" si="5"/>
        <v>60000</v>
      </c>
      <c r="O13" s="21">
        <f t="shared" si="9"/>
        <v>3.0385529002705165</v>
      </c>
    </row>
    <row r="14" spans="1:15" ht="30" x14ac:dyDescent="0.25">
      <c r="A14" s="19" t="s">
        <v>25</v>
      </c>
      <c r="B14" s="20">
        <v>6000</v>
      </c>
      <c r="C14" s="20">
        <v>6000</v>
      </c>
      <c r="D14" s="20">
        <v>6000</v>
      </c>
      <c r="E14" s="20">
        <v>6000</v>
      </c>
      <c r="F14" s="20">
        <v>6000</v>
      </c>
      <c r="G14" s="20">
        <v>6000</v>
      </c>
      <c r="H14" s="20">
        <v>6000</v>
      </c>
      <c r="I14" s="20">
        <v>6000</v>
      </c>
      <c r="J14" s="20">
        <v>6000</v>
      </c>
      <c r="K14" s="20">
        <v>6000</v>
      </c>
      <c r="L14" s="20">
        <v>6000</v>
      </c>
      <c r="M14" s="20">
        <v>6000</v>
      </c>
      <c r="N14" s="20">
        <f t="shared" si="5"/>
        <v>72000</v>
      </c>
      <c r="O14" s="21">
        <f t="shared" si="9"/>
        <v>3.6462634803246199</v>
      </c>
    </row>
    <row r="15" spans="1:15" ht="30" x14ac:dyDescent="0.25">
      <c r="A15" s="22" t="s">
        <v>26</v>
      </c>
      <c r="B15" s="23">
        <v>700</v>
      </c>
      <c r="C15" s="23">
        <v>700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>
        <f t="shared" si="5"/>
        <v>1400</v>
      </c>
      <c r="O15" s="24">
        <f t="shared" si="9"/>
        <v>7.0899567672978711E-2</v>
      </c>
    </row>
    <row r="16" spans="1:15" ht="30" x14ac:dyDescent="0.25">
      <c r="A16" s="25" t="s">
        <v>27</v>
      </c>
      <c r="B16" s="26"/>
      <c r="C16" s="26"/>
      <c r="D16" s="26">
        <v>1500</v>
      </c>
      <c r="E16" s="26">
        <v>1500</v>
      </c>
      <c r="F16" s="26">
        <v>1500</v>
      </c>
      <c r="G16" s="26">
        <v>1500</v>
      </c>
      <c r="H16" s="26">
        <v>1500</v>
      </c>
      <c r="I16" s="26">
        <v>1500</v>
      </c>
      <c r="J16" s="26">
        <v>1500</v>
      </c>
      <c r="K16" s="26">
        <v>1500</v>
      </c>
      <c r="L16" s="26">
        <v>1500</v>
      </c>
      <c r="M16" s="26">
        <v>1500</v>
      </c>
      <c r="N16" s="23">
        <f t="shared" si="5"/>
        <v>15000</v>
      </c>
      <c r="O16" s="24">
        <f t="shared" si="9"/>
        <v>0.75963822506762912</v>
      </c>
    </row>
    <row r="17" spans="1:15" ht="30" x14ac:dyDescent="0.25">
      <c r="A17" s="27" t="s">
        <v>28</v>
      </c>
      <c r="B17" s="26"/>
      <c r="C17" s="26"/>
      <c r="D17" s="26">
        <v>3000</v>
      </c>
      <c r="E17" s="26">
        <v>3000</v>
      </c>
      <c r="F17" s="26">
        <v>3000</v>
      </c>
      <c r="G17" s="26">
        <v>3000</v>
      </c>
      <c r="H17" s="26">
        <v>3000</v>
      </c>
      <c r="I17" s="26">
        <v>3000</v>
      </c>
      <c r="J17" s="26">
        <v>3000</v>
      </c>
      <c r="K17" s="26">
        <v>3000</v>
      </c>
      <c r="L17" s="26">
        <v>3000</v>
      </c>
      <c r="M17" s="26">
        <v>3000</v>
      </c>
      <c r="N17" s="23">
        <f t="shared" si="5"/>
        <v>30000</v>
      </c>
      <c r="O17" s="24">
        <f t="shared" si="9"/>
        <v>1.5192764501352582</v>
      </c>
    </row>
    <row r="18" spans="1:15" ht="30" x14ac:dyDescent="0.25">
      <c r="A18" s="27" t="s">
        <v>29</v>
      </c>
      <c r="B18" s="26"/>
      <c r="C18" s="26"/>
      <c r="D18" s="26">
        <v>4000</v>
      </c>
      <c r="E18" s="26">
        <v>4000</v>
      </c>
      <c r="F18" s="26">
        <v>4000</v>
      </c>
      <c r="G18" s="26">
        <v>4000</v>
      </c>
      <c r="H18" s="26">
        <v>4000</v>
      </c>
      <c r="I18" s="26">
        <v>4000</v>
      </c>
      <c r="J18" s="26">
        <v>4000</v>
      </c>
      <c r="K18" s="26">
        <v>4000</v>
      </c>
      <c r="L18" s="26">
        <v>4000</v>
      </c>
      <c r="M18" s="26">
        <v>4000</v>
      </c>
      <c r="N18" s="23">
        <f t="shared" si="5"/>
        <v>40000</v>
      </c>
      <c r="O18" s="24">
        <f t="shared" si="9"/>
        <v>2.0257019335136777</v>
      </c>
    </row>
    <row r="19" spans="1:15" ht="30" x14ac:dyDescent="0.25">
      <c r="A19" s="27" t="s">
        <v>30</v>
      </c>
      <c r="B19" s="26"/>
      <c r="C19" s="26"/>
      <c r="D19" s="26">
        <v>2500</v>
      </c>
      <c r="E19" s="26">
        <v>2500</v>
      </c>
      <c r="F19" s="26">
        <v>2500</v>
      </c>
      <c r="G19" s="26">
        <v>2500</v>
      </c>
      <c r="H19" s="26">
        <v>2500</v>
      </c>
      <c r="I19" s="26">
        <v>2500</v>
      </c>
      <c r="J19" s="26">
        <v>2500</v>
      </c>
      <c r="K19" s="26">
        <v>2500</v>
      </c>
      <c r="L19" s="26">
        <v>2500</v>
      </c>
      <c r="M19" s="26">
        <v>2500</v>
      </c>
      <c r="N19" s="23">
        <f t="shared" si="5"/>
        <v>25000</v>
      </c>
      <c r="O19" s="24">
        <f t="shared" si="9"/>
        <v>1.2660637084460487</v>
      </c>
    </row>
    <row r="20" spans="1:15" ht="30" x14ac:dyDescent="0.25">
      <c r="A20" s="7" t="s">
        <v>31</v>
      </c>
      <c r="B20" s="8">
        <f>SUM(B22:B31,B34:B41,B43:B50,B52:B59,B61:B68,B70:B76,B78:B85,B87:B94,B96:B103,B105:B112,B114:B121,B123:B130,B132:B139,B141:B148,B150:B157,B159:B166,B168:B175,B177:B184,B186:B193,B195:B202,B204:B211,B213:B220,B222:B229,B231:B237,B239:B243)</f>
        <v>2100</v>
      </c>
      <c r="C20" s="8">
        <f t="shared" ref="C20:M20" si="10">SUM(C22:C31,C34:C41,C43:C50,C52:C59,C61:C68,C70:C76,C78:C85,C87:C94,C96:C103,C105:C112,C114:C121,C123:C130,C132:C139,C141:C148,C150:C157,C159:C166,C168:C175,C177:C184,C186:C193,C195:C202,C204:C211,C213:C220,C222:C229,C231:C237,C239:C243)</f>
        <v>66221.05</v>
      </c>
      <c r="D20" s="8">
        <f t="shared" si="10"/>
        <v>40432.713333333333</v>
      </c>
      <c r="E20" s="8">
        <f t="shared" si="10"/>
        <v>32199.733333333334</v>
      </c>
      <c r="F20" s="8">
        <f t="shared" si="10"/>
        <v>5085.3333333333339</v>
      </c>
      <c r="G20" s="8">
        <f t="shared" si="10"/>
        <v>9685.3333333333339</v>
      </c>
      <c r="H20" s="8">
        <f t="shared" si="10"/>
        <v>1965.3333333333335</v>
      </c>
      <c r="I20" s="8">
        <f t="shared" si="10"/>
        <v>37619.38392857142</v>
      </c>
      <c r="J20" s="8">
        <f t="shared" si="10"/>
        <v>37619.38392857142</v>
      </c>
      <c r="K20" s="8">
        <f t="shared" si="10"/>
        <v>24823.539285714287</v>
      </c>
      <c r="L20" s="8">
        <f t="shared" si="10"/>
        <v>23156.872619047619</v>
      </c>
      <c r="M20" s="8">
        <f t="shared" si="10"/>
        <v>13533.333333333334</v>
      </c>
      <c r="N20" s="8">
        <f>SUM(N22:N31,N34:N41,N43:N50,N52:N59,N61:N68,N70:N76,N78:N85,N87:N94,N96:N103,N105:N112,N114:N121,N123:N130,N132:N139,N141:N148,N150:N157,N159:N166,N168:N175,N177:N184,N186:N193,N195:N202,N204:N211,N213:N220,N222:N229,N231:N237,N239:N243)</f>
        <v>294442.00976190489</v>
      </c>
      <c r="O20" s="9">
        <f t="shared" si="9"/>
        <v>14.911293712058596</v>
      </c>
    </row>
    <row r="21" spans="1:15" x14ac:dyDescent="0.25">
      <c r="A21" s="28" t="s">
        <v>32</v>
      </c>
      <c r="B21" s="29">
        <f>SUM(B22:B31)</f>
        <v>100</v>
      </c>
      <c r="C21" s="29">
        <f t="shared" ref="C21:N21" si="11">SUM(C22:C31)</f>
        <v>26866.666666666668</v>
      </c>
      <c r="D21" s="29">
        <f t="shared" si="11"/>
        <v>5105.333333333333</v>
      </c>
      <c r="E21" s="29">
        <f t="shared" si="11"/>
        <v>5105.333333333333</v>
      </c>
      <c r="F21" s="29">
        <f t="shared" si="11"/>
        <v>3085.3333333333335</v>
      </c>
      <c r="G21" s="29">
        <f t="shared" si="11"/>
        <v>3085.3333333333335</v>
      </c>
      <c r="H21" s="29">
        <f t="shared" si="11"/>
        <v>1965.3333333333335</v>
      </c>
      <c r="I21" s="29">
        <f t="shared" si="11"/>
        <v>933.33333333333337</v>
      </c>
      <c r="J21" s="29">
        <f t="shared" si="11"/>
        <v>933.33333333333337</v>
      </c>
      <c r="K21" s="29">
        <f t="shared" si="11"/>
        <v>933.33333333333337</v>
      </c>
      <c r="L21" s="29">
        <f t="shared" si="11"/>
        <v>933.33333333333337</v>
      </c>
      <c r="M21" s="29">
        <f t="shared" si="11"/>
        <v>933.33333333333337</v>
      </c>
      <c r="N21" s="29">
        <f t="shared" si="11"/>
        <v>49980</v>
      </c>
      <c r="O21" s="30">
        <f t="shared" si="9"/>
        <v>2.53111456592534</v>
      </c>
    </row>
    <row r="22" spans="1:15" x14ac:dyDescent="0.25">
      <c r="A22" s="31" t="s">
        <v>33</v>
      </c>
      <c r="B22" s="32"/>
      <c r="C22" s="32">
        <v>6140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>
        <f t="shared" si="5"/>
        <v>6140</v>
      </c>
      <c r="O22" s="33">
        <f t="shared" si="9"/>
        <v>0.31094524679434954</v>
      </c>
    </row>
    <row r="23" spans="1:15" x14ac:dyDescent="0.25">
      <c r="A23" s="31" t="s">
        <v>34</v>
      </c>
      <c r="B23" s="32"/>
      <c r="C23" s="32">
        <v>4320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>
        <f t="shared" si="5"/>
        <v>4320</v>
      </c>
      <c r="O23" s="33">
        <f t="shared" si="9"/>
        <v>0.2187758088194772</v>
      </c>
    </row>
    <row r="24" spans="1:15" x14ac:dyDescent="0.25">
      <c r="A24" s="31" t="s">
        <v>35</v>
      </c>
      <c r="B24" s="32"/>
      <c r="C24" s="32">
        <v>3000</v>
      </c>
      <c r="D24" s="32">
        <f t="shared" ref="D24:H24" si="12">5160/5</f>
        <v>1032</v>
      </c>
      <c r="E24" s="32">
        <f t="shared" si="12"/>
        <v>1032</v>
      </c>
      <c r="F24" s="32">
        <f t="shared" si="12"/>
        <v>1032</v>
      </c>
      <c r="G24" s="32">
        <f t="shared" si="12"/>
        <v>1032</v>
      </c>
      <c r="H24" s="32">
        <f t="shared" si="12"/>
        <v>1032</v>
      </c>
      <c r="I24" s="32"/>
      <c r="J24" s="32"/>
      <c r="K24" s="32"/>
      <c r="L24" s="32"/>
      <c r="M24" s="32"/>
      <c r="N24" s="32">
        <f t="shared" si="5"/>
        <v>8160</v>
      </c>
      <c r="O24" s="33">
        <f t="shared" si="9"/>
        <v>0.41324319443679025</v>
      </c>
    </row>
    <row r="25" spans="1:15" x14ac:dyDescent="0.25">
      <c r="A25" s="31" t="s">
        <v>36</v>
      </c>
      <c r="B25" s="32"/>
      <c r="C25" s="32">
        <v>2020</v>
      </c>
      <c r="D25" s="32">
        <v>2020</v>
      </c>
      <c r="E25" s="32">
        <v>2020</v>
      </c>
      <c r="F25" s="32"/>
      <c r="G25" s="32"/>
      <c r="H25" s="32"/>
      <c r="I25" s="32"/>
      <c r="J25" s="32"/>
      <c r="K25" s="32"/>
      <c r="L25" s="32"/>
      <c r="M25" s="32"/>
      <c r="N25" s="32">
        <f t="shared" si="5"/>
        <v>6060</v>
      </c>
      <c r="O25" s="33">
        <f t="shared" si="9"/>
        <v>0.30689384292732219</v>
      </c>
    </row>
    <row r="26" spans="1:15" ht="30" x14ac:dyDescent="0.25">
      <c r="A26" s="31" t="s">
        <v>37</v>
      </c>
      <c r="B26" s="32"/>
      <c r="C26" s="32">
        <v>8000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>
        <f t="shared" si="5"/>
        <v>8000</v>
      </c>
      <c r="O26" s="33">
        <f t="shared" si="9"/>
        <v>0.40514038670273556</v>
      </c>
    </row>
    <row r="27" spans="1:15" ht="60" x14ac:dyDescent="0.25">
      <c r="A27" s="31" t="s">
        <v>38</v>
      </c>
      <c r="B27" s="32"/>
      <c r="C27" s="32">
        <f t="shared" ref="C27:G27" si="13">((3.5*200)*8)/5</f>
        <v>1120</v>
      </c>
      <c r="D27" s="32">
        <f t="shared" si="13"/>
        <v>1120</v>
      </c>
      <c r="E27" s="32">
        <f t="shared" si="13"/>
        <v>1120</v>
      </c>
      <c r="F27" s="32">
        <f t="shared" si="13"/>
        <v>1120</v>
      </c>
      <c r="G27" s="32">
        <f t="shared" si="13"/>
        <v>1120</v>
      </c>
      <c r="H27" s="32"/>
      <c r="I27" s="32"/>
      <c r="J27" s="32"/>
      <c r="K27" s="32"/>
      <c r="L27" s="32"/>
      <c r="M27" s="32"/>
      <c r="N27" s="32">
        <f t="shared" si="5"/>
        <v>5600</v>
      </c>
      <c r="O27" s="33">
        <f>N27/$N$2*100</f>
        <v>0.28359827069191484</v>
      </c>
    </row>
    <row r="28" spans="1:15" ht="30" x14ac:dyDescent="0.25">
      <c r="A28" s="34" t="s">
        <v>39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>
        <f t="shared" si="5"/>
        <v>0</v>
      </c>
      <c r="O28" s="33">
        <f t="shared" si="9"/>
        <v>0</v>
      </c>
    </row>
    <row r="29" spans="1:15" ht="45" x14ac:dyDescent="0.25">
      <c r="A29" s="34" t="s">
        <v>40</v>
      </c>
      <c r="B29" s="35"/>
      <c r="C29" s="35">
        <f>(10000/12)*2</f>
        <v>1666.6666666666667</v>
      </c>
      <c r="D29" s="35">
        <f t="shared" ref="D29:M29" si="14">10000/12</f>
        <v>833.33333333333337</v>
      </c>
      <c r="E29" s="35">
        <f t="shared" si="14"/>
        <v>833.33333333333337</v>
      </c>
      <c r="F29" s="35">
        <f t="shared" si="14"/>
        <v>833.33333333333337</v>
      </c>
      <c r="G29" s="35">
        <f t="shared" si="14"/>
        <v>833.33333333333337</v>
      </c>
      <c r="H29" s="35">
        <f t="shared" si="14"/>
        <v>833.33333333333337</v>
      </c>
      <c r="I29" s="35">
        <f t="shared" si="14"/>
        <v>833.33333333333337</v>
      </c>
      <c r="J29" s="35">
        <f t="shared" si="14"/>
        <v>833.33333333333337</v>
      </c>
      <c r="K29" s="35">
        <f t="shared" si="14"/>
        <v>833.33333333333337</v>
      </c>
      <c r="L29" s="35">
        <f t="shared" si="14"/>
        <v>833.33333333333337</v>
      </c>
      <c r="M29" s="35">
        <f t="shared" si="14"/>
        <v>833.33333333333337</v>
      </c>
      <c r="N29" s="35">
        <f t="shared" si="5"/>
        <v>10000</v>
      </c>
      <c r="O29" s="33">
        <f t="shared" si="9"/>
        <v>0.50642548337841942</v>
      </c>
    </row>
    <row r="30" spans="1:15" x14ac:dyDescent="0.25">
      <c r="A30" s="34" t="s">
        <v>41</v>
      </c>
      <c r="B30" s="35">
        <v>100</v>
      </c>
      <c r="C30" s="35">
        <v>100</v>
      </c>
      <c r="D30" s="35">
        <v>100</v>
      </c>
      <c r="E30" s="35">
        <v>100</v>
      </c>
      <c r="F30" s="35">
        <v>100</v>
      </c>
      <c r="G30" s="35">
        <v>100</v>
      </c>
      <c r="H30" s="35">
        <v>100</v>
      </c>
      <c r="I30" s="35">
        <v>100</v>
      </c>
      <c r="J30" s="35">
        <v>100</v>
      </c>
      <c r="K30" s="35">
        <v>100</v>
      </c>
      <c r="L30" s="35">
        <v>100</v>
      </c>
      <c r="M30" s="35">
        <v>100</v>
      </c>
      <c r="N30" s="35">
        <f t="shared" si="5"/>
        <v>1200</v>
      </c>
      <c r="O30" s="33">
        <f t="shared" si="9"/>
        <v>6.0771058005410328E-2</v>
      </c>
    </row>
    <row r="31" spans="1:15" x14ac:dyDescent="0.25">
      <c r="A31" s="34" t="s">
        <v>42</v>
      </c>
      <c r="B31" s="35"/>
      <c r="C31" s="35">
        <v>500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>
        <f>SUM(B31:M31)</f>
        <v>500</v>
      </c>
      <c r="O31" s="33">
        <f t="shared" si="9"/>
        <v>2.5321274168920972E-2</v>
      </c>
    </row>
    <row r="32" spans="1:15" ht="45" x14ac:dyDescent="0.25">
      <c r="A32" s="36" t="s">
        <v>43</v>
      </c>
      <c r="B32" s="37">
        <f>SUM(B34:B41,B43:B50,B52:B59,B61:B68,B70:B76,B78:B85,B87:B94,B96:B103,B105:B112,B114:B121,B123:B130,B132:B139,B141:B148,B150:B157,B159:B166,B168:B175,B177:B184,B186:B193,B195:B202,B204:B211,B213:B220,B222:B229)</f>
        <v>2000</v>
      </c>
      <c r="C32" s="37">
        <f t="shared" ref="C32:N32" si="15">SUM(C34:C41,C43:C50,C52:C59,C61:C68,C70:C76,C78:C85,C87:C94,C96:C103,C105:C112,C114:C121,C123:C130,C132:C139,C141:C148,C150:C157,C159:C166,C168:C175,C177:C184,C186:C193,C195:C202,C204:C211,C213:C220,C222:C229)</f>
        <v>36121.403333333335</v>
      </c>
      <c r="D32" s="37">
        <f t="shared" si="15"/>
        <v>32094.400000000001</v>
      </c>
      <c r="E32" s="37">
        <f t="shared" si="15"/>
        <v>27094.400000000001</v>
      </c>
      <c r="F32" s="37">
        <f t="shared" si="15"/>
        <v>2000</v>
      </c>
      <c r="G32" s="37">
        <f t="shared" si="15"/>
        <v>0</v>
      </c>
      <c r="H32" s="37">
        <f t="shared" si="15"/>
        <v>0</v>
      </c>
      <c r="I32" s="37">
        <f t="shared" si="15"/>
        <v>36686.050595238092</v>
      </c>
      <c r="J32" s="37">
        <f t="shared" si="15"/>
        <v>36686.050595238092</v>
      </c>
      <c r="K32" s="37">
        <f t="shared" si="15"/>
        <v>23890.205952380951</v>
      </c>
      <c r="L32" s="37">
        <f t="shared" si="15"/>
        <v>22223.539285714287</v>
      </c>
      <c r="M32" s="37">
        <f t="shared" si="15"/>
        <v>6000</v>
      </c>
      <c r="N32" s="37">
        <f t="shared" si="15"/>
        <v>224796.04976190484</v>
      </c>
      <c r="O32" s="38">
        <f>N32/$N$2*100</f>
        <v>11.384244816223188</v>
      </c>
    </row>
    <row r="33" spans="1:15" x14ac:dyDescent="0.25">
      <c r="A33" s="39" t="s">
        <v>44</v>
      </c>
      <c r="B33" s="40">
        <f>SUM(B34:B41)</f>
        <v>0</v>
      </c>
      <c r="C33" s="40">
        <f t="shared" ref="C33:N33" si="16">SUM(C34:C41)</f>
        <v>36121.403333333335</v>
      </c>
      <c r="D33" s="40">
        <f t="shared" si="16"/>
        <v>32094.400000000001</v>
      </c>
      <c r="E33" s="40">
        <f t="shared" si="16"/>
        <v>27094.400000000001</v>
      </c>
      <c r="F33" s="40">
        <f t="shared" si="16"/>
        <v>0</v>
      </c>
      <c r="G33" s="40">
        <f t="shared" si="16"/>
        <v>0</v>
      </c>
      <c r="H33" s="40">
        <f t="shared" si="16"/>
        <v>0</v>
      </c>
      <c r="I33" s="40">
        <f t="shared" si="16"/>
        <v>1666.6666666666667</v>
      </c>
      <c r="J33" s="40">
        <f t="shared" si="16"/>
        <v>1666.6666666666667</v>
      </c>
      <c r="K33" s="40">
        <f t="shared" si="16"/>
        <v>1666.6666666666667</v>
      </c>
      <c r="L33" s="40">
        <f t="shared" si="16"/>
        <v>0</v>
      </c>
      <c r="M33" s="40">
        <f t="shared" si="16"/>
        <v>0</v>
      </c>
      <c r="N33" s="40">
        <f t="shared" si="16"/>
        <v>100310.20333333334</v>
      </c>
      <c r="O33" s="41">
        <f>N33/$N$2*100</f>
        <v>5.0799643210870871</v>
      </c>
    </row>
    <row r="34" spans="1:15" x14ac:dyDescent="0.25">
      <c r="A34" s="42" t="s">
        <v>45</v>
      </c>
      <c r="B34" s="43"/>
      <c r="C34" s="43">
        <f t="shared" ref="C34:E34" si="17">24000/3</f>
        <v>8000</v>
      </c>
      <c r="D34" s="43">
        <f t="shared" si="17"/>
        <v>8000</v>
      </c>
      <c r="E34" s="43">
        <f t="shared" si="17"/>
        <v>8000</v>
      </c>
      <c r="F34" s="43"/>
      <c r="G34" s="43"/>
      <c r="H34" s="43"/>
      <c r="I34" s="43"/>
      <c r="J34" s="43"/>
      <c r="K34" s="43"/>
      <c r="L34" s="43"/>
      <c r="M34" s="43"/>
      <c r="N34" s="43">
        <f t="shared" ref="N34:N126" si="18">SUM(B34:M34)</f>
        <v>24000</v>
      </c>
      <c r="O34" s="44">
        <f t="shared" ref="O34:O41" si="19">N34/$N$2*100</f>
        <v>1.2154211601082066</v>
      </c>
    </row>
    <row r="35" spans="1:15" x14ac:dyDescent="0.25">
      <c r="A35" s="42" t="s">
        <v>46</v>
      </c>
      <c r="B35" s="43"/>
      <c r="C35" s="43">
        <v>10000</v>
      </c>
      <c r="D35" s="43">
        <v>5000</v>
      </c>
      <c r="E35" s="43">
        <v>5000</v>
      </c>
      <c r="F35" s="43"/>
      <c r="G35" s="43"/>
      <c r="H35" s="43"/>
      <c r="I35" s="43"/>
      <c r="J35" s="43"/>
      <c r="K35" s="43"/>
      <c r="L35" s="43"/>
      <c r="M35" s="43"/>
      <c r="N35" s="43">
        <f t="shared" si="18"/>
        <v>20000</v>
      </c>
      <c r="O35" s="44">
        <f t="shared" si="19"/>
        <v>1.0128509667568388</v>
      </c>
    </row>
    <row r="36" spans="1:15" x14ac:dyDescent="0.25">
      <c r="A36" s="42" t="s">
        <v>47</v>
      </c>
      <c r="B36" s="43"/>
      <c r="C36" s="43">
        <v>6288.07</v>
      </c>
      <c r="D36" s="43">
        <v>4861.0666666666666</v>
      </c>
      <c r="E36" s="43">
        <v>4861.0666666666666</v>
      </c>
      <c r="F36" s="43"/>
      <c r="G36" s="43"/>
      <c r="H36" s="43"/>
      <c r="I36" s="43"/>
      <c r="J36" s="43"/>
      <c r="K36" s="43"/>
      <c r="L36" s="43"/>
      <c r="M36" s="43"/>
      <c r="N36" s="43">
        <f t="shared" si="18"/>
        <v>16010.203333333331</v>
      </c>
      <c r="O36" s="44">
        <f t="shared" si="19"/>
        <v>0.81079749620701136</v>
      </c>
    </row>
    <row r="37" spans="1:15" x14ac:dyDescent="0.25">
      <c r="A37" s="42" t="s">
        <v>48</v>
      </c>
      <c r="B37" s="43"/>
      <c r="C37" s="43">
        <v>5000</v>
      </c>
      <c r="D37" s="43">
        <v>5000</v>
      </c>
      <c r="E37" s="43"/>
      <c r="F37" s="43"/>
      <c r="G37" s="43"/>
      <c r="H37" s="43"/>
      <c r="I37" s="43"/>
      <c r="J37" s="43"/>
      <c r="K37" s="43"/>
      <c r="L37" s="43"/>
      <c r="M37" s="43"/>
      <c r="N37" s="43">
        <f t="shared" si="18"/>
        <v>10000</v>
      </c>
      <c r="O37" s="44">
        <f t="shared" si="19"/>
        <v>0.50642548337841942</v>
      </c>
    </row>
    <row r="38" spans="1:15" x14ac:dyDescent="0.25">
      <c r="A38" s="42" t="s">
        <v>49</v>
      </c>
      <c r="B38" s="43"/>
      <c r="C38" s="43">
        <v>1666.6666666666667</v>
      </c>
      <c r="D38" s="43">
        <f t="shared" ref="D38:E38" si="20">5000/3</f>
        <v>1666.6666666666667</v>
      </c>
      <c r="E38" s="43">
        <f t="shared" si="20"/>
        <v>1666.6666666666667</v>
      </c>
      <c r="F38" s="43"/>
      <c r="G38" s="43"/>
      <c r="H38" s="43"/>
      <c r="I38" s="43"/>
      <c r="J38" s="43"/>
      <c r="K38" s="43"/>
      <c r="L38" s="43"/>
      <c r="M38" s="43"/>
      <c r="N38" s="43">
        <f t="shared" si="18"/>
        <v>5000</v>
      </c>
      <c r="O38" s="44">
        <f t="shared" si="19"/>
        <v>0.25321274168920971</v>
      </c>
    </row>
    <row r="39" spans="1:15" x14ac:dyDescent="0.25">
      <c r="A39" s="42" t="s">
        <v>50</v>
      </c>
      <c r="B39" s="43"/>
      <c r="C39" s="43"/>
      <c r="D39" s="43">
        <v>2400</v>
      </c>
      <c r="E39" s="43">
        <v>2400</v>
      </c>
      <c r="F39" s="43"/>
      <c r="G39" s="43"/>
      <c r="H39" s="43"/>
      <c r="I39" s="43"/>
      <c r="J39" s="43"/>
      <c r="K39" s="43"/>
      <c r="L39" s="43"/>
      <c r="M39" s="43"/>
      <c r="N39" s="43">
        <f t="shared" si="18"/>
        <v>4800</v>
      </c>
      <c r="O39" s="44">
        <f t="shared" si="19"/>
        <v>0.24308423202164131</v>
      </c>
    </row>
    <row r="40" spans="1:15" x14ac:dyDescent="0.25">
      <c r="A40" s="42" t="s">
        <v>51</v>
      </c>
      <c r="B40" s="43"/>
      <c r="C40" s="43">
        <v>5166.666666666667</v>
      </c>
      <c r="D40" s="43">
        <v>5166.666666666667</v>
      </c>
      <c r="E40" s="43">
        <v>5166.666666666667</v>
      </c>
      <c r="F40" s="43"/>
      <c r="G40" s="43"/>
      <c r="H40" s="43"/>
      <c r="I40" s="43"/>
      <c r="J40" s="43"/>
      <c r="K40" s="43"/>
      <c r="L40" s="43"/>
      <c r="M40" s="43"/>
      <c r="N40" s="43">
        <f t="shared" si="18"/>
        <v>15500</v>
      </c>
      <c r="O40" s="44">
        <f t="shared" si="19"/>
        <v>0.78495949923655006</v>
      </c>
    </row>
    <row r="41" spans="1:15" x14ac:dyDescent="0.25">
      <c r="A41" s="42" t="s">
        <v>52</v>
      </c>
      <c r="B41" s="43"/>
      <c r="C41" s="43"/>
      <c r="D41" s="43"/>
      <c r="E41" s="43"/>
      <c r="F41" s="43"/>
      <c r="G41" s="43"/>
      <c r="H41" s="43"/>
      <c r="I41" s="43">
        <v>1666.6666666666667</v>
      </c>
      <c r="J41" s="43">
        <v>1666.6666666666667</v>
      </c>
      <c r="K41" s="43">
        <v>1666.6666666666667</v>
      </c>
      <c r="L41" s="43"/>
      <c r="M41" s="43"/>
      <c r="N41" s="43">
        <f t="shared" si="18"/>
        <v>5000</v>
      </c>
      <c r="O41" s="44">
        <f t="shared" si="19"/>
        <v>0.25321274168920971</v>
      </c>
    </row>
    <row r="42" spans="1:15" ht="30" x14ac:dyDescent="0.25">
      <c r="A42" s="39" t="s">
        <v>53</v>
      </c>
      <c r="B42" s="40">
        <f>SUM(B43:B50)</f>
        <v>0</v>
      </c>
      <c r="C42" s="40">
        <f t="shared" ref="C42:N42" si="21">SUM(C43:C50)</f>
        <v>0</v>
      </c>
      <c r="D42" s="40">
        <f t="shared" si="21"/>
        <v>0</v>
      </c>
      <c r="E42" s="40">
        <f t="shared" si="21"/>
        <v>0</v>
      </c>
      <c r="F42" s="40">
        <f t="shared" si="21"/>
        <v>0</v>
      </c>
      <c r="G42" s="40">
        <f t="shared" si="21"/>
        <v>0</v>
      </c>
      <c r="H42" s="40">
        <f t="shared" si="21"/>
        <v>0</v>
      </c>
      <c r="I42" s="40">
        <f t="shared" si="21"/>
        <v>1306.2346428571425</v>
      </c>
      <c r="J42" s="40">
        <f t="shared" si="21"/>
        <v>1306.2346428571425</v>
      </c>
      <c r="K42" s="40">
        <f t="shared" si="21"/>
        <v>0</v>
      </c>
      <c r="L42" s="40">
        <f t="shared" si="21"/>
        <v>0</v>
      </c>
      <c r="M42" s="40">
        <f t="shared" si="21"/>
        <v>0</v>
      </c>
      <c r="N42" s="40">
        <f t="shared" si="21"/>
        <v>2612.469285714285</v>
      </c>
      <c r="O42" s="41">
        <f>N42/$N$2*100</f>
        <v>0.1323021020829131</v>
      </c>
    </row>
    <row r="43" spans="1:15" x14ac:dyDescent="0.25">
      <c r="A43" s="42" t="s">
        <v>45</v>
      </c>
      <c r="B43" s="43"/>
      <c r="C43" s="43"/>
      <c r="D43" s="43"/>
      <c r="E43" s="43"/>
      <c r="F43" s="43"/>
      <c r="G43" s="43"/>
      <c r="H43" s="43"/>
      <c r="I43" s="43">
        <v>163.27933035714281</v>
      </c>
      <c r="J43" s="43">
        <v>163.27933035714281</v>
      </c>
      <c r="K43" s="43"/>
      <c r="L43" s="43"/>
      <c r="M43" s="43"/>
      <c r="N43" s="43">
        <f t="shared" si="18"/>
        <v>326.55866071428562</v>
      </c>
      <c r="O43" s="44">
        <f t="shared" ref="O43:O50" si="22">N43/$N$2*100</f>
        <v>1.6537762760364137E-2</v>
      </c>
    </row>
    <row r="44" spans="1:15" x14ac:dyDescent="0.25">
      <c r="A44" s="42" t="s">
        <v>46</v>
      </c>
      <c r="B44" s="43"/>
      <c r="C44" s="43"/>
      <c r="D44" s="43"/>
      <c r="E44" s="43"/>
      <c r="F44" s="43"/>
      <c r="G44" s="43"/>
      <c r="H44" s="43"/>
      <c r="I44" s="43">
        <v>163.27933035714281</v>
      </c>
      <c r="J44" s="43">
        <v>163.27933035714281</v>
      </c>
      <c r="K44" s="43"/>
      <c r="L44" s="43"/>
      <c r="M44" s="43"/>
      <c r="N44" s="43">
        <f t="shared" si="18"/>
        <v>326.55866071428562</v>
      </c>
      <c r="O44" s="44">
        <f t="shared" si="22"/>
        <v>1.6537762760364137E-2</v>
      </c>
    </row>
    <row r="45" spans="1:15" x14ac:dyDescent="0.25">
      <c r="A45" s="42" t="s">
        <v>47</v>
      </c>
      <c r="B45" s="43"/>
      <c r="C45" s="43"/>
      <c r="D45" s="43"/>
      <c r="E45" s="43"/>
      <c r="F45" s="43"/>
      <c r="G45" s="43"/>
      <c r="H45" s="43"/>
      <c r="I45" s="43">
        <v>163.27933035714281</v>
      </c>
      <c r="J45" s="43">
        <v>163.27933035714281</v>
      </c>
      <c r="K45" s="43"/>
      <c r="L45" s="43"/>
      <c r="M45" s="43"/>
      <c r="N45" s="43">
        <f t="shared" si="18"/>
        <v>326.55866071428562</v>
      </c>
      <c r="O45" s="44">
        <f t="shared" si="22"/>
        <v>1.6537762760364137E-2</v>
      </c>
    </row>
    <row r="46" spans="1:15" x14ac:dyDescent="0.25">
      <c r="A46" s="42" t="s">
        <v>48</v>
      </c>
      <c r="B46" s="43"/>
      <c r="C46" s="43"/>
      <c r="D46" s="43"/>
      <c r="E46" s="43"/>
      <c r="F46" s="43"/>
      <c r="G46" s="43"/>
      <c r="H46" s="43"/>
      <c r="I46" s="43">
        <v>163.27933035714281</v>
      </c>
      <c r="J46" s="43">
        <v>163.27933035714281</v>
      </c>
      <c r="K46" s="43"/>
      <c r="L46" s="43"/>
      <c r="M46" s="43"/>
      <c r="N46" s="43">
        <f t="shared" si="18"/>
        <v>326.55866071428562</v>
      </c>
      <c r="O46" s="44">
        <f t="shared" si="22"/>
        <v>1.6537762760364137E-2</v>
      </c>
    </row>
    <row r="47" spans="1:15" x14ac:dyDescent="0.25">
      <c r="A47" s="42" t="s">
        <v>49</v>
      </c>
      <c r="B47" s="43"/>
      <c r="C47" s="43"/>
      <c r="D47" s="43"/>
      <c r="E47" s="43"/>
      <c r="F47" s="43"/>
      <c r="G47" s="43"/>
      <c r="H47" s="43"/>
      <c r="I47" s="43">
        <v>163.27933035714281</v>
      </c>
      <c r="J47" s="43">
        <v>163.27933035714281</v>
      </c>
      <c r="K47" s="43"/>
      <c r="L47" s="43"/>
      <c r="M47" s="43"/>
      <c r="N47" s="43">
        <f t="shared" si="18"/>
        <v>326.55866071428562</v>
      </c>
      <c r="O47" s="44">
        <f t="shared" si="22"/>
        <v>1.6537762760364137E-2</v>
      </c>
    </row>
    <row r="48" spans="1:15" x14ac:dyDescent="0.25">
      <c r="A48" s="42" t="s">
        <v>50</v>
      </c>
      <c r="B48" s="43"/>
      <c r="C48" s="43"/>
      <c r="D48" s="43"/>
      <c r="E48" s="43"/>
      <c r="F48" s="43"/>
      <c r="G48" s="43"/>
      <c r="H48" s="43"/>
      <c r="I48" s="43">
        <v>163.27933035714281</v>
      </c>
      <c r="J48" s="43">
        <v>163.27933035714281</v>
      </c>
      <c r="K48" s="43"/>
      <c r="L48" s="43"/>
      <c r="M48" s="43"/>
      <c r="N48" s="43">
        <f t="shared" si="18"/>
        <v>326.55866071428562</v>
      </c>
      <c r="O48" s="44">
        <f t="shared" si="22"/>
        <v>1.6537762760364137E-2</v>
      </c>
    </row>
    <row r="49" spans="1:15" x14ac:dyDescent="0.25">
      <c r="A49" s="42" t="s">
        <v>51</v>
      </c>
      <c r="B49" s="43"/>
      <c r="C49" s="43"/>
      <c r="D49" s="43"/>
      <c r="E49" s="43"/>
      <c r="F49" s="43"/>
      <c r="G49" s="43"/>
      <c r="H49" s="43"/>
      <c r="I49" s="43">
        <v>163.27933035714281</v>
      </c>
      <c r="J49" s="43">
        <v>163.27933035714281</v>
      </c>
      <c r="K49" s="43"/>
      <c r="L49" s="43"/>
      <c r="M49" s="43"/>
      <c r="N49" s="43">
        <f t="shared" si="18"/>
        <v>326.55866071428562</v>
      </c>
      <c r="O49" s="44">
        <f t="shared" si="22"/>
        <v>1.6537762760364137E-2</v>
      </c>
    </row>
    <row r="50" spans="1:15" x14ac:dyDescent="0.25">
      <c r="A50" s="42" t="s">
        <v>52</v>
      </c>
      <c r="B50" s="43"/>
      <c r="C50" s="43"/>
      <c r="D50" s="43"/>
      <c r="E50" s="43"/>
      <c r="F50" s="43"/>
      <c r="G50" s="43"/>
      <c r="H50" s="43"/>
      <c r="I50" s="43">
        <v>163.27933035714281</v>
      </c>
      <c r="J50" s="43">
        <v>163.27933035714281</v>
      </c>
      <c r="K50" s="43"/>
      <c r="L50" s="43"/>
      <c r="M50" s="43"/>
      <c r="N50" s="43">
        <f t="shared" si="18"/>
        <v>326.55866071428562</v>
      </c>
      <c r="O50" s="44">
        <f t="shared" si="22"/>
        <v>1.6537762760364137E-2</v>
      </c>
    </row>
    <row r="51" spans="1:15" x14ac:dyDescent="0.25">
      <c r="A51" s="39" t="s">
        <v>54</v>
      </c>
      <c r="B51" s="40">
        <f>SUM(B52:B59)</f>
        <v>0</v>
      </c>
      <c r="C51" s="40">
        <f t="shared" ref="C51:N51" si="23">SUM(C52:C59)</f>
        <v>0</v>
      </c>
      <c r="D51" s="40">
        <f t="shared" si="23"/>
        <v>0</v>
      </c>
      <c r="E51" s="40">
        <f t="shared" si="23"/>
        <v>0</v>
      </c>
      <c r="F51" s="40">
        <f t="shared" si="23"/>
        <v>0</v>
      </c>
      <c r="G51" s="40">
        <f t="shared" si="23"/>
        <v>0</v>
      </c>
      <c r="H51" s="40">
        <f t="shared" si="23"/>
        <v>0</v>
      </c>
      <c r="I51" s="40">
        <f t="shared" si="23"/>
        <v>2500</v>
      </c>
      <c r="J51" s="40">
        <f t="shared" si="23"/>
        <v>2500</v>
      </c>
      <c r="K51" s="40">
        <f t="shared" si="23"/>
        <v>0</v>
      </c>
      <c r="L51" s="40">
        <f t="shared" si="23"/>
        <v>0</v>
      </c>
      <c r="M51" s="40">
        <f t="shared" si="23"/>
        <v>0</v>
      </c>
      <c r="N51" s="40">
        <f t="shared" si="23"/>
        <v>5000</v>
      </c>
      <c r="O51" s="41">
        <f>N51/$N$2*100</f>
        <v>0.25321274168920971</v>
      </c>
    </row>
    <row r="52" spans="1:15" x14ac:dyDescent="0.25">
      <c r="A52" s="42" t="s">
        <v>45</v>
      </c>
      <c r="B52" s="43"/>
      <c r="C52" s="43"/>
      <c r="D52" s="43"/>
      <c r="E52" s="43"/>
      <c r="F52" s="43"/>
      <c r="G52" s="43"/>
      <c r="H52" s="43"/>
      <c r="I52" s="43">
        <v>312.5</v>
      </c>
      <c r="J52" s="43">
        <v>312.5</v>
      </c>
      <c r="K52" s="43"/>
      <c r="L52" s="43"/>
      <c r="M52" s="43"/>
      <c r="N52" s="43">
        <f t="shared" si="18"/>
        <v>625</v>
      </c>
      <c r="O52" s="44">
        <f t="shared" ref="O52:O59" si="24">N52/$N$2*100</f>
        <v>3.1651592711151214E-2</v>
      </c>
    </row>
    <row r="53" spans="1:15" x14ac:dyDescent="0.25">
      <c r="A53" s="42" t="s">
        <v>46</v>
      </c>
      <c r="B53" s="43"/>
      <c r="C53" s="43"/>
      <c r="D53" s="43"/>
      <c r="E53" s="43"/>
      <c r="F53" s="43"/>
      <c r="G53" s="43"/>
      <c r="H53" s="43"/>
      <c r="I53" s="43">
        <v>312.5</v>
      </c>
      <c r="J53" s="43">
        <v>312.5</v>
      </c>
      <c r="K53" s="43"/>
      <c r="L53" s="43"/>
      <c r="M53" s="43"/>
      <c r="N53" s="43">
        <f t="shared" si="18"/>
        <v>625</v>
      </c>
      <c r="O53" s="44">
        <f t="shared" si="24"/>
        <v>3.1651592711151214E-2</v>
      </c>
    </row>
    <row r="54" spans="1:15" x14ac:dyDescent="0.25">
      <c r="A54" s="42" t="s">
        <v>47</v>
      </c>
      <c r="B54" s="43"/>
      <c r="C54" s="43"/>
      <c r="D54" s="43"/>
      <c r="E54" s="43"/>
      <c r="F54" s="43"/>
      <c r="G54" s="43"/>
      <c r="H54" s="43"/>
      <c r="I54" s="43">
        <v>312.5</v>
      </c>
      <c r="J54" s="43">
        <v>312.5</v>
      </c>
      <c r="K54" s="43"/>
      <c r="L54" s="43"/>
      <c r="M54" s="43"/>
      <c r="N54" s="43">
        <f t="shared" si="18"/>
        <v>625</v>
      </c>
      <c r="O54" s="44">
        <f t="shared" si="24"/>
        <v>3.1651592711151214E-2</v>
      </c>
    </row>
    <row r="55" spans="1:15" x14ac:dyDescent="0.25">
      <c r="A55" s="42" t="s">
        <v>48</v>
      </c>
      <c r="B55" s="43"/>
      <c r="C55" s="43"/>
      <c r="D55" s="43"/>
      <c r="E55" s="43"/>
      <c r="F55" s="43"/>
      <c r="G55" s="43"/>
      <c r="H55" s="43"/>
      <c r="I55" s="43">
        <v>312.5</v>
      </c>
      <c r="J55" s="43">
        <v>312.5</v>
      </c>
      <c r="K55" s="43"/>
      <c r="L55" s="43"/>
      <c r="M55" s="43"/>
      <c r="N55" s="43">
        <f t="shared" si="18"/>
        <v>625</v>
      </c>
      <c r="O55" s="44">
        <f t="shared" si="24"/>
        <v>3.1651592711151214E-2</v>
      </c>
    </row>
    <row r="56" spans="1:15" x14ac:dyDescent="0.25">
      <c r="A56" s="42" t="s">
        <v>49</v>
      </c>
      <c r="B56" s="43"/>
      <c r="C56" s="43"/>
      <c r="D56" s="43"/>
      <c r="E56" s="43"/>
      <c r="F56" s="43"/>
      <c r="G56" s="43"/>
      <c r="H56" s="43"/>
      <c r="I56" s="43">
        <v>312.5</v>
      </c>
      <c r="J56" s="43">
        <v>312.5</v>
      </c>
      <c r="K56" s="43"/>
      <c r="L56" s="43"/>
      <c r="M56" s="43"/>
      <c r="N56" s="43">
        <f t="shared" si="18"/>
        <v>625</v>
      </c>
      <c r="O56" s="44">
        <f t="shared" si="24"/>
        <v>3.1651592711151214E-2</v>
      </c>
    </row>
    <row r="57" spans="1:15" x14ac:dyDescent="0.25">
      <c r="A57" s="42" t="s">
        <v>50</v>
      </c>
      <c r="B57" s="43"/>
      <c r="C57" s="43"/>
      <c r="D57" s="43"/>
      <c r="E57" s="43"/>
      <c r="F57" s="43"/>
      <c r="G57" s="43"/>
      <c r="H57" s="43"/>
      <c r="I57" s="43">
        <v>312.5</v>
      </c>
      <c r="J57" s="43">
        <v>312.5</v>
      </c>
      <c r="K57" s="43"/>
      <c r="L57" s="43"/>
      <c r="M57" s="43"/>
      <c r="N57" s="43">
        <f t="shared" si="18"/>
        <v>625</v>
      </c>
      <c r="O57" s="44">
        <f t="shared" si="24"/>
        <v>3.1651592711151214E-2</v>
      </c>
    </row>
    <row r="58" spans="1:15" x14ac:dyDescent="0.25">
      <c r="A58" s="42" t="s">
        <v>51</v>
      </c>
      <c r="B58" s="43"/>
      <c r="C58" s="43"/>
      <c r="D58" s="43"/>
      <c r="E58" s="43"/>
      <c r="F58" s="43"/>
      <c r="G58" s="43"/>
      <c r="H58" s="43"/>
      <c r="I58" s="43">
        <v>312.5</v>
      </c>
      <c r="J58" s="43">
        <v>312.5</v>
      </c>
      <c r="K58" s="43"/>
      <c r="L58" s="43"/>
      <c r="M58" s="43"/>
      <c r="N58" s="43">
        <f t="shared" si="18"/>
        <v>625</v>
      </c>
      <c r="O58" s="44">
        <f t="shared" si="24"/>
        <v>3.1651592711151214E-2</v>
      </c>
    </row>
    <row r="59" spans="1:15" x14ac:dyDescent="0.25">
      <c r="A59" s="42" t="s">
        <v>52</v>
      </c>
      <c r="B59" s="43"/>
      <c r="C59" s="43"/>
      <c r="D59" s="43"/>
      <c r="E59" s="43"/>
      <c r="F59" s="43"/>
      <c r="G59" s="43"/>
      <c r="H59" s="43"/>
      <c r="I59" s="43">
        <v>312.5</v>
      </c>
      <c r="J59" s="43">
        <v>312.5</v>
      </c>
      <c r="K59" s="43"/>
      <c r="L59" s="43"/>
      <c r="M59" s="43"/>
      <c r="N59" s="43">
        <f t="shared" si="18"/>
        <v>625</v>
      </c>
      <c r="O59" s="44">
        <f t="shared" si="24"/>
        <v>3.1651592711151214E-2</v>
      </c>
    </row>
    <row r="60" spans="1:15" x14ac:dyDescent="0.25">
      <c r="A60" s="39" t="s">
        <v>55</v>
      </c>
      <c r="B60" s="40">
        <f>SUM(B61:B68)</f>
        <v>0</v>
      </c>
      <c r="C60" s="40">
        <f t="shared" ref="C60:N60" si="25">SUM(C61:C68)</f>
        <v>0</v>
      </c>
      <c r="D60" s="40">
        <f t="shared" si="25"/>
        <v>0</v>
      </c>
      <c r="E60" s="40">
        <f t="shared" si="25"/>
        <v>0</v>
      </c>
      <c r="F60" s="40">
        <f t="shared" si="25"/>
        <v>0</v>
      </c>
      <c r="G60" s="40">
        <f t="shared" si="25"/>
        <v>0</v>
      </c>
      <c r="H60" s="40">
        <f t="shared" si="25"/>
        <v>0</v>
      </c>
      <c r="I60" s="40">
        <f t="shared" si="25"/>
        <v>4393.04</v>
      </c>
      <c r="J60" s="40">
        <f t="shared" si="25"/>
        <v>4393.04</v>
      </c>
      <c r="K60" s="40">
        <f t="shared" si="25"/>
        <v>0</v>
      </c>
      <c r="L60" s="40">
        <f t="shared" si="25"/>
        <v>0</v>
      </c>
      <c r="M60" s="40">
        <f t="shared" si="25"/>
        <v>0</v>
      </c>
      <c r="N60" s="40">
        <f t="shared" si="25"/>
        <v>8786.08</v>
      </c>
      <c r="O60" s="41">
        <f>N60/$N$2*100</f>
        <v>0.44494948110014632</v>
      </c>
    </row>
    <row r="61" spans="1:15" x14ac:dyDescent="0.25">
      <c r="A61" s="42" t="s">
        <v>45</v>
      </c>
      <c r="B61" s="43"/>
      <c r="C61" s="43"/>
      <c r="D61" s="43"/>
      <c r="E61" s="43"/>
      <c r="F61" s="43"/>
      <c r="G61" s="43"/>
      <c r="H61" s="43"/>
      <c r="I61" s="43">
        <v>549.13</v>
      </c>
      <c r="J61" s="43">
        <v>549.13</v>
      </c>
      <c r="K61" s="43"/>
      <c r="L61" s="43"/>
      <c r="M61" s="43"/>
      <c r="N61" s="43">
        <f t="shared" si="18"/>
        <v>1098.26</v>
      </c>
      <c r="O61" s="44">
        <f t="shared" ref="O61:O68" si="26">N61/$N$2*100</f>
        <v>5.5618685137518289E-2</v>
      </c>
    </row>
    <row r="62" spans="1:15" x14ac:dyDescent="0.25">
      <c r="A62" s="42" t="s">
        <v>46</v>
      </c>
      <c r="B62" s="43"/>
      <c r="C62" s="43"/>
      <c r="D62" s="43"/>
      <c r="E62" s="43"/>
      <c r="F62" s="43"/>
      <c r="G62" s="43"/>
      <c r="H62" s="43"/>
      <c r="I62" s="43">
        <v>549.13</v>
      </c>
      <c r="J62" s="43">
        <v>549.13</v>
      </c>
      <c r="K62" s="43"/>
      <c r="L62" s="43"/>
      <c r="M62" s="43"/>
      <c r="N62" s="43">
        <f t="shared" si="18"/>
        <v>1098.26</v>
      </c>
      <c r="O62" s="44">
        <f t="shared" si="26"/>
        <v>5.5618685137518289E-2</v>
      </c>
    </row>
    <row r="63" spans="1:15" x14ac:dyDescent="0.25">
      <c r="A63" s="42" t="s">
        <v>47</v>
      </c>
      <c r="B63" s="43"/>
      <c r="C63" s="43"/>
      <c r="D63" s="43"/>
      <c r="E63" s="43"/>
      <c r="F63" s="43"/>
      <c r="G63" s="43"/>
      <c r="H63" s="43"/>
      <c r="I63" s="43">
        <v>549.13</v>
      </c>
      <c r="J63" s="43">
        <v>549.13</v>
      </c>
      <c r="K63" s="43"/>
      <c r="L63" s="43"/>
      <c r="M63" s="43"/>
      <c r="N63" s="43">
        <f t="shared" si="18"/>
        <v>1098.26</v>
      </c>
      <c r="O63" s="44">
        <f t="shared" si="26"/>
        <v>5.5618685137518289E-2</v>
      </c>
    </row>
    <row r="64" spans="1:15" x14ac:dyDescent="0.25">
      <c r="A64" s="42" t="s">
        <v>48</v>
      </c>
      <c r="B64" s="43"/>
      <c r="C64" s="43"/>
      <c r="D64" s="43"/>
      <c r="E64" s="43"/>
      <c r="F64" s="43"/>
      <c r="G64" s="43"/>
      <c r="H64" s="43"/>
      <c r="I64" s="43">
        <v>549.13</v>
      </c>
      <c r="J64" s="43">
        <v>549.13</v>
      </c>
      <c r="K64" s="43"/>
      <c r="L64" s="43"/>
      <c r="M64" s="43"/>
      <c r="N64" s="43">
        <f t="shared" si="18"/>
        <v>1098.26</v>
      </c>
      <c r="O64" s="44">
        <f t="shared" si="26"/>
        <v>5.5618685137518289E-2</v>
      </c>
    </row>
    <row r="65" spans="1:15" x14ac:dyDescent="0.25">
      <c r="A65" s="42" t="s">
        <v>49</v>
      </c>
      <c r="B65" s="43"/>
      <c r="C65" s="43"/>
      <c r="D65" s="43"/>
      <c r="E65" s="43"/>
      <c r="F65" s="43"/>
      <c r="G65" s="43"/>
      <c r="H65" s="43"/>
      <c r="I65" s="43">
        <v>549.13</v>
      </c>
      <c r="J65" s="43">
        <v>549.13</v>
      </c>
      <c r="K65" s="43"/>
      <c r="L65" s="43"/>
      <c r="M65" s="43"/>
      <c r="N65" s="43">
        <f t="shared" si="18"/>
        <v>1098.26</v>
      </c>
      <c r="O65" s="44">
        <f t="shared" si="26"/>
        <v>5.5618685137518289E-2</v>
      </c>
    </row>
    <row r="66" spans="1:15" x14ac:dyDescent="0.25">
      <c r="A66" s="42" t="s">
        <v>50</v>
      </c>
      <c r="B66" s="43"/>
      <c r="C66" s="43"/>
      <c r="D66" s="43"/>
      <c r="E66" s="43"/>
      <c r="F66" s="43"/>
      <c r="G66" s="43"/>
      <c r="H66" s="43"/>
      <c r="I66" s="43">
        <v>549.13</v>
      </c>
      <c r="J66" s="43">
        <v>549.13</v>
      </c>
      <c r="K66" s="43"/>
      <c r="L66" s="43"/>
      <c r="M66" s="43"/>
      <c r="N66" s="43">
        <f t="shared" si="18"/>
        <v>1098.26</v>
      </c>
      <c r="O66" s="44">
        <f t="shared" si="26"/>
        <v>5.5618685137518289E-2</v>
      </c>
    </row>
    <row r="67" spans="1:15" x14ac:dyDescent="0.25">
      <c r="A67" s="42" t="s">
        <v>51</v>
      </c>
      <c r="B67" s="43"/>
      <c r="C67" s="43"/>
      <c r="D67" s="43"/>
      <c r="E67" s="43"/>
      <c r="F67" s="43"/>
      <c r="G67" s="43"/>
      <c r="H67" s="43"/>
      <c r="I67" s="43">
        <v>549.13</v>
      </c>
      <c r="J67" s="43">
        <v>549.13</v>
      </c>
      <c r="K67" s="43"/>
      <c r="L67" s="43"/>
      <c r="M67" s="43"/>
      <c r="N67" s="43">
        <f t="shared" si="18"/>
        <v>1098.26</v>
      </c>
      <c r="O67" s="44">
        <f t="shared" si="26"/>
        <v>5.5618685137518289E-2</v>
      </c>
    </row>
    <row r="68" spans="1:15" x14ac:dyDescent="0.25">
      <c r="A68" s="45" t="s">
        <v>52</v>
      </c>
      <c r="B68" s="46"/>
      <c r="C68" s="46"/>
      <c r="D68" s="46"/>
      <c r="E68" s="46"/>
      <c r="F68" s="46"/>
      <c r="G68" s="46"/>
      <c r="H68" s="46"/>
      <c r="I68" s="46">
        <v>549.13</v>
      </c>
      <c r="J68" s="46">
        <v>549.13</v>
      </c>
      <c r="K68" s="46"/>
      <c r="L68" s="46"/>
      <c r="M68" s="46"/>
      <c r="N68" s="43">
        <f t="shared" si="18"/>
        <v>1098.26</v>
      </c>
      <c r="O68" s="47">
        <f t="shared" si="26"/>
        <v>5.5618685137518289E-2</v>
      </c>
    </row>
    <row r="69" spans="1:15" ht="30" x14ac:dyDescent="0.25">
      <c r="A69" s="48" t="s">
        <v>56</v>
      </c>
      <c r="B69" s="40">
        <f>SUM(B70:B76)</f>
        <v>0</v>
      </c>
      <c r="C69" s="40">
        <f t="shared" ref="C69:N69" si="27">SUM(C70:C76)</f>
        <v>0</v>
      </c>
      <c r="D69" s="40">
        <f t="shared" si="27"/>
        <v>0</v>
      </c>
      <c r="E69" s="40">
        <f t="shared" si="27"/>
        <v>0</v>
      </c>
      <c r="F69" s="40">
        <f t="shared" si="27"/>
        <v>0</v>
      </c>
      <c r="G69" s="40">
        <f t="shared" si="27"/>
        <v>0</v>
      </c>
      <c r="H69" s="40">
        <f t="shared" si="27"/>
        <v>0</v>
      </c>
      <c r="I69" s="40">
        <f t="shared" si="27"/>
        <v>8596.57</v>
      </c>
      <c r="J69" s="40">
        <f t="shared" si="27"/>
        <v>8596.57</v>
      </c>
      <c r="K69" s="40">
        <f t="shared" si="27"/>
        <v>0</v>
      </c>
      <c r="L69" s="40">
        <f t="shared" si="27"/>
        <v>0</v>
      </c>
      <c r="M69" s="40">
        <f t="shared" si="27"/>
        <v>0</v>
      </c>
      <c r="N69" s="40">
        <f t="shared" si="27"/>
        <v>17193.14</v>
      </c>
      <c r="O69" s="41">
        <f>N69/$N$2*100</f>
        <v>0.87070442352928379</v>
      </c>
    </row>
    <row r="70" spans="1:15" x14ac:dyDescent="0.25">
      <c r="A70" s="49" t="s">
        <v>45</v>
      </c>
      <c r="B70" s="50"/>
      <c r="C70" s="50"/>
      <c r="D70" s="50"/>
      <c r="E70" s="50"/>
      <c r="F70" s="50"/>
      <c r="G70" s="50"/>
      <c r="H70" s="51"/>
      <c r="I70" s="52">
        <v>2178.5700000000002</v>
      </c>
      <c r="J70" s="52">
        <v>2178.5700000000002</v>
      </c>
      <c r="K70" s="53"/>
      <c r="L70" s="50"/>
      <c r="M70" s="50"/>
      <c r="N70" s="43">
        <f t="shared" si="18"/>
        <v>4357.1400000000003</v>
      </c>
      <c r="O70" s="54">
        <v>0.22</v>
      </c>
    </row>
    <row r="71" spans="1:15" x14ac:dyDescent="0.25">
      <c r="A71" s="49" t="s">
        <v>46</v>
      </c>
      <c r="B71" s="50"/>
      <c r="C71" s="50"/>
      <c r="D71" s="50"/>
      <c r="E71" s="50"/>
      <c r="F71" s="50"/>
      <c r="G71" s="50"/>
      <c r="H71" s="51"/>
      <c r="I71" s="52">
        <v>1834.29</v>
      </c>
      <c r="J71" s="52">
        <v>1834.29</v>
      </c>
      <c r="K71" s="53"/>
      <c r="L71" s="50"/>
      <c r="M71" s="50"/>
      <c r="N71" s="43">
        <f t="shared" si="18"/>
        <v>3668.58</v>
      </c>
      <c r="O71" s="54">
        <v>0.19</v>
      </c>
    </row>
    <row r="72" spans="1:15" x14ac:dyDescent="0.25">
      <c r="A72" s="49" t="s">
        <v>47</v>
      </c>
      <c r="B72" s="50"/>
      <c r="C72" s="50"/>
      <c r="D72" s="50"/>
      <c r="E72" s="50"/>
      <c r="F72" s="50"/>
      <c r="G72" s="50"/>
      <c r="H72" s="51"/>
      <c r="I72" s="54">
        <v>636.14</v>
      </c>
      <c r="J72" s="54">
        <v>636.14</v>
      </c>
      <c r="K72" s="53"/>
      <c r="L72" s="50"/>
      <c r="M72" s="50"/>
      <c r="N72" s="43">
        <f t="shared" si="18"/>
        <v>1272.28</v>
      </c>
      <c r="O72" s="54">
        <v>7.0000000000000007E-2</v>
      </c>
    </row>
    <row r="73" spans="1:15" x14ac:dyDescent="0.25">
      <c r="A73" s="49" t="s">
        <v>48</v>
      </c>
      <c r="B73" s="50"/>
      <c r="C73" s="50"/>
      <c r="D73" s="50"/>
      <c r="E73" s="50"/>
      <c r="F73" s="50"/>
      <c r="G73" s="50"/>
      <c r="H73" s="51"/>
      <c r="I73" s="52">
        <v>1359.43</v>
      </c>
      <c r="J73" s="52">
        <v>1359.43</v>
      </c>
      <c r="K73" s="53"/>
      <c r="L73" s="50"/>
      <c r="M73" s="50"/>
      <c r="N73" s="43">
        <f t="shared" si="18"/>
        <v>2718.86</v>
      </c>
      <c r="O73" s="54">
        <v>0.14000000000000001</v>
      </c>
    </row>
    <row r="74" spans="1:15" x14ac:dyDescent="0.25">
      <c r="A74" s="49" t="s">
        <v>49</v>
      </c>
      <c r="B74" s="50"/>
      <c r="C74" s="50"/>
      <c r="D74" s="50"/>
      <c r="E74" s="50"/>
      <c r="F74" s="50"/>
      <c r="G74" s="50"/>
      <c r="H74" s="51"/>
      <c r="I74" s="54">
        <v>714.57</v>
      </c>
      <c r="J74" s="54">
        <v>714.57</v>
      </c>
      <c r="K74" s="53"/>
      <c r="L74" s="50"/>
      <c r="M74" s="50"/>
      <c r="N74" s="43">
        <f t="shared" si="18"/>
        <v>1429.14</v>
      </c>
      <c r="O74" s="54">
        <v>7.0000000000000007E-2</v>
      </c>
    </row>
    <row r="75" spans="1:15" x14ac:dyDescent="0.25">
      <c r="A75" s="49" t="s">
        <v>50</v>
      </c>
      <c r="B75" s="50"/>
      <c r="C75" s="50"/>
      <c r="D75" s="50"/>
      <c r="E75" s="50"/>
      <c r="F75" s="50"/>
      <c r="G75" s="50"/>
      <c r="H75" s="51"/>
      <c r="I75" s="54">
        <v>714.57</v>
      </c>
      <c r="J75" s="54">
        <v>714.57</v>
      </c>
      <c r="K75" s="53"/>
      <c r="L75" s="50"/>
      <c r="M75" s="50"/>
      <c r="N75" s="43">
        <f t="shared" si="18"/>
        <v>1429.14</v>
      </c>
      <c r="O75" s="54">
        <v>7.0000000000000007E-2</v>
      </c>
    </row>
    <row r="76" spans="1:15" x14ac:dyDescent="0.25">
      <c r="A76" s="55" t="s">
        <v>51</v>
      </c>
      <c r="B76" s="56"/>
      <c r="C76" s="56"/>
      <c r="D76" s="56"/>
      <c r="E76" s="56"/>
      <c r="F76" s="56"/>
      <c r="G76" s="56"/>
      <c r="H76" s="57"/>
      <c r="I76" s="52">
        <v>1159</v>
      </c>
      <c r="J76" s="52">
        <v>1159</v>
      </c>
      <c r="K76" s="58"/>
      <c r="L76" s="56"/>
      <c r="M76" s="56"/>
      <c r="N76" s="43">
        <f t="shared" si="18"/>
        <v>2318</v>
      </c>
      <c r="O76" s="59"/>
    </row>
    <row r="77" spans="1:15" x14ac:dyDescent="0.25">
      <c r="A77" s="60" t="s">
        <v>57</v>
      </c>
      <c r="B77" s="61">
        <f>SUM(B78:B85)</f>
        <v>0</v>
      </c>
      <c r="C77" s="61">
        <f t="shared" ref="C77:N77" si="28">SUM(C78:C85)</f>
        <v>0</v>
      </c>
      <c r="D77" s="61">
        <f t="shared" si="28"/>
        <v>0</v>
      </c>
      <c r="E77" s="61">
        <f t="shared" si="28"/>
        <v>0</v>
      </c>
      <c r="F77" s="61">
        <f t="shared" si="28"/>
        <v>0</v>
      </c>
      <c r="G77" s="61">
        <f t="shared" si="28"/>
        <v>0</v>
      </c>
      <c r="H77" s="61">
        <f t="shared" si="28"/>
        <v>0</v>
      </c>
      <c r="I77" s="61">
        <f t="shared" si="28"/>
        <v>0</v>
      </c>
      <c r="J77" s="61">
        <f t="shared" si="28"/>
        <v>0</v>
      </c>
      <c r="K77" s="61">
        <f t="shared" si="28"/>
        <v>0</v>
      </c>
      <c r="L77" s="61">
        <f t="shared" si="28"/>
        <v>0</v>
      </c>
      <c r="M77" s="61">
        <f t="shared" si="28"/>
        <v>0</v>
      </c>
      <c r="N77" s="61">
        <f t="shared" si="28"/>
        <v>0</v>
      </c>
      <c r="O77" s="62">
        <f>N77/$N$2*100</f>
        <v>0</v>
      </c>
    </row>
    <row r="78" spans="1:15" x14ac:dyDescent="0.25">
      <c r="A78" s="63" t="s">
        <v>45</v>
      </c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>
        <f t="shared" si="18"/>
        <v>0</v>
      </c>
      <c r="O78" s="65">
        <f t="shared" ref="O78:O85" si="29">N78/$N$2*100</f>
        <v>0</v>
      </c>
    </row>
    <row r="79" spans="1:15" x14ac:dyDescent="0.25">
      <c r="A79" s="63" t="s">
        <v>46</v>
      </c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>
        <f t="shared" si="18"/>
        <v>0</v>
      </c>
      <c r="O79" s="65">
        <f t="shared" si="29"/>
        <v>0</v>
      </c>
    </row>
    <row r="80" spans="1:15" x14ac:dyDescent="0.25">
      <c r="A80" s="63" t="s">
        <v>47</v>
      </c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>
        <f t="shared" si="18"/>
        <v>0</v>
      </c>
      <c r="O80" s="65">
        <f t="shared" si="29"/>
        <v>0</v>
      </c>
    </row>
    <row r="81" spans="1:15" x14ac:dyDescent="0.25">
      <c r="A81" s="63" t="s">
        <v>48</v>
      </c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>
        <f t="shared" si="18"/>
        <v>0</v>
      </c>
      <c r="O81" s="65">
        <f t="shared" si="29"/>
        <v>0</v>
      </c>
    </row>
    <row r="82" spans="1:15" x14ac:dyDescent="0.25">
      <c r="A82" s="63" t="s">
        <v>49</v>
      </c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>
        <f t="shared" si="18"/>
        <v>0</v>
      </c>
      <c r="O82" s="65">
        <f t="shared" si="29"/>
        <v>0</v>
      </c>
    </row>
    <row r="83" spans="1:15" x14ac:dyDescent="0.25">
      <c r="A83" s="63" t="s">
        <v>50</v>
      </c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>
        <f t="shared" si="18"/>
        <v>0</v>
      </c>
      <c r="O83" s="65">
        <f t="shared" si="29"/>
        <v>0</v>
      </c>
    </row>
    <row r="84" spans="1:15" x14ac:dyDescent="0.25">
      <c r="A84" s="63" t="s">
        <v>51</v>
      </c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>
        <f t="shared" si="18"/>
        <v>0</v>
      </c>
      <c r="O84" s="65">
        <f t="shared" si="29"/>
        <v>0</v>
      </c>
    </row>
    <row r="85" spans="1:15" x14ac:dyDescent="0.25">
      <c r="A85" s="63" t="s">
        <v>52</v>
      </c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>
        <f t="shared" si="18"/>
        <v>0</v>
      </c>
      <c r="O85" s="65">
        <f t="shared" si="29"/>
        <v>0</v>
      </c>
    </row>
    <row r="86" spans="1:15" ht="30" x14ac:dyDescent="0.25">
      <c r="A86" s="60" t="s">
        <v>58</v>
      </c>
      <c r="B86" s="61">
        <f>SUM(B87:B94)</f>
        <v>0</v>
      </c>
      <c r="C86" s="61">
        <f t="shared" ref="C86:N86" si="30">SUM(C87:C94)</f>
        <v>0</v>
      </c>
      <c r="D86" s="61">
        <f t="shared" si="30"/>
        <v>0</v>
      </c>
      <c r="E86" s="61">
        <f t="shared" si="30"/>
        <v>0</v>
      </c>
      <c r="F86" s="61">
        <f t="shared" si="30"/>
        <v>0</v>
      </c>
      <c r="G86" s="61">
        <f t="shared" si="30"/>
        <v>0</v>
      </c>
      <c r="H86" s="61">
        <f t="shared" si="30"/>
        <v>0</v>
      </c>
      <c r="I86" s="61">
        <f t="shared" si="30"/>
        <v>5687.5392857142851</v>
      </c>
      <c r="J86" s="61">
        <f t="shared" si="30"/>
        <v>0</v>
      </c>
      <c r="K86" s="61">
        <f t="shared" si="30"/>
        <v>0</v>
      </c>
      <c r="L86" s="61">
        <f t="shared" si="30"/>
        <v>0</v>
      </c>
      <c r="M86" s="61">
        <f t="shared" si="30"/>
        <v>0</v>
      </c>
      <c r="N86" s="61">
        <f t="shared" si="30"/>
        <v>5687.5392857142851</v>
      </c>
      <c r="O86" s="62">
        <f>N86/$N$2*100</f>
        <v>0.2880314832001607</v>
      </c>
    </row>
    <row r="87" spans="1:15" x14ac:dyDescent="0.25">
      <c r="A87" s="63" t="s">
        <v>45</v>
      </c>
      <c r="B87" s="64"/>
      <c r="C87" s="64"/>
      <c r="D87" s="64"/>
      <c r="E87" s="64"/>
      <c r="F87" s="64"/>
      <c r="G87" s="64"/>
      <c r="H87" s="64"/>
      <c r="I87" s="64">
        <v>1086.492857142857</v>
      </c>
      <c r="J87" s="64"/>
      <c r="K87" s="64"/>
      <c r="L87" s="64"/>
      <c r="M87" s="64"/>
      <c r="N87" s="64">
        <f t="shared" si="18"/>
        <v>1086.492857142857</v>
      </c>
      <c r="O87" s="65">
        <f t="shared" ref="O87:O94" si="31">N87/$N$2*100</f>
        <v>5.5022767036577137E-2</v>
      </c>
    </row>
    <row r="88" spans="1:15" x14ac:dyDescent="0.25">
      <c r="A88" s="63" t="s">
        <v>46</v>
      </c>
      <c r="B88" s="64"/>
      <c r="C88" s="64"/>
      <c r="D88" s="64"/>
      <c r="E88" s="64"/>
      <c r="F88" s="64"/>
      <c r="G88" s="64"/>
      <c r="H88" s="64"/>
      <c r="I88" s="64">
        <v>851.48571428571427</v>
      </c>
      <c r="J88" s="64"/>
      <c r="K88" s="64"/>
      <c r="L88" s="64"/>
      <c r="M88" s="64"/>
      <c r="N88" s="64">
        <f t="shared" si="18"/>
        <v>851.48571428571427</v>
      </c>
      <c r="O88" s="65">
        <f t="shared" si="31"/>
        <v>4.3121406444696156E-2</v>
      </c>
    </row>
    <row r="89" spans="1:15" x14ac:dyDescent="0.25">
      <c r="A89" s="63" t="s">
        <v>47</v>
      </c>
      <c r="B89" s="64"/>
      <c r="C89" s="64"/>
      <c r="D89" s="64"/>
      <c r="E89" s="64"/>
      <c r="F89" s="64"/>
      <c r="G89" s="64"/>
      <c r="H89" s="64"/>
      <c r="I89" s="64">
        <v>716.99642857142862</v>
      </c>
      <c r="J89" s="64"/>
      <c r="K89" s="64"/>
      <c r="L89" s="64"/>
      <c r="M89" s="64"/>
      <c r="N89" s="64">
        <f t="shared" si="18"/>
        <v>716.99642857142862</v>
      </c>
      <c r="O89" s="65">
        <f t="shared" si="31"/>
        <v>3.631052629198861E-2</v>
      </c>
    </row>
    <row r="90" spans="1:15" x14ac:dyDescent="0.25">
      <c r="A90" s="63" t="s">
        <v>48</v>
      </c>
      <c r="B90" s="64"/>
      <c r="C90" s="64"/>
      <c r="D90" s="64"/>
      <c r="E90" s="64"/>
      <c r="F90" s="64"/>
      <c r="G90" s="64"/>
      <c r="H90" s="64"/>
      <c r="I90" s="64">
        <v>1192.5142857142857</v>
      </c>
      <c r="J90" s="64"/>
      <c r="K90" s="64"/>
      <c r="L90" s="64"/>
      <c r="M90" s="64"/>
      <c r="N90" s="64">
        <f t="shared" si="18"/>
        <v>1192.5142857142857</v>
      </c>
      <c r="O90" s="65">
        <f t="shared" si="31"/>
        <v>6.0391962357852776E-2</v>
      </c>
    </row>
    <row r="91" spans="1:15" x14ac:dyDescent="0.25">
      <c r="A91" s="63" t="s">
        <v>49</v>
      </c>
      <c r="B91" s="64"/>
      <c r="C91" s="64"/>
      <c r="D91" s="64"/>
      <c r="E91" s="64"/>
      <c r="F91" s="64"/>
      <c r="G91" s="64"/>
      <c r="H91" s="64"/>
      <c r="I91" s="64">
        <v>314.75714285714287</v>
      </c>
      <c r="J91" s="64"/>
      <c r="K91" s="64"/>
      <c r="L91" s="64"/>
      <c r="M91" s="64"/>
      <c r="N91" s="64">
        <f t="shared" si="18"/>
        <v>314.75714285714287</v>
      </c>
      <c r="O91" s="65">
        <f t="shared" si="31"/>
        <v>1.5940103821823877E-2</v>
      </c>
    </row>
    <row r="92" spans="1:15" x14ac:dyDescent="0.25">
      <c r="A92" s="63" t="s">
        <v>50</v>
      </c>
      <c r="B92" s="64"/>
      <c r="C92" s="64"/>
      <c r="D92" s="64"/>
      <c r="E92" s="64"/>
      <c r="F92" s="64"/>
      <c r="G92" s="64"/>
      <c r="H92" s="64"/>
      <c r="I92" s="64">
        <v>314.75714285714287</v>
      </c>
      <c r="J92" s="64"/>
      <c r="K92" s="64"/>
      <c r="L92" s="64"/>
      <c r="M92" s="64"/>
      <c r="N92" s="64">
        <f t="shared" si="18"/>
        <v>314.75714285714287</v>
      </c>
      <c r="O92" s="65">
        <f t="shared" si="31"/>
        <v>1.5940103821823877E-2</v>
      </c>
    </row>
    <row r="93" spans="1:15" x14ac:dyDescent="0.25">
      <c r="A93" s="63" t="s">
        <v>51</v>
      </c>
      <c r="B93" s="64"/>
      <c r="C93" s="64"/>
      <c r="D93" s="64"/>
      <c r="E93" s="64"/>
      <c r="F93" s="64"/>
      <c r="G93" s="64"/>
      <c r="H93" s="64"/>
      <c r="I93" s="64">
        <v>673.63928571428573</v>
      </c>
      <c r="J93" s="64"/>
      <c r="K93" s="64"/>
      <c r="L93" s="64"/>
      <c r="M93" s="64"/>
      <c r="N93" s="64">
        <f t="shared" si="18"/>
        <v>673.63928571428573</v>
      </c>
      <c r="O93" s="65">
        <f t="shared" si="31"/>
        <v>3.4114810089055037E-2</v>
      </c>
    </row>
    <row r="94" spans="1:15" x14ac:dyDescent="0.25">
      <c r="A94" s="63" t="s">
        <v>52</v>
      </c>
      <c r="B94" s="64"/>
      <c r="C94" s="64"/>
      <c r="D94" s="64"/>
      <c r="E94" s="64"/>
      <c r="F94" s="64"/>
      <c r="G94" s="64"/>
      <c r="H94" s="64"/>
      <c r="I94" s="64">
        <v>536.8964285714286</v>
      </c>
      <c r="J94" s="64"/>
      <c r="K94" s="64"/>
      <c r="L94" s="64"/>
      <c r="M94" s="64"/>
      <c r="N94" s="64">
        <f t="shared" si="18"/>
        <v>536.8964285714286</v>
      </c>
      <c r="O94" s="65">
        <f t="shared" si="31"/>
        <v>2.7189803336343275E-2</v>
      </c>
    </row>
    <row r="95" spans="1:15" x14ac:dyDescent="0.25">
      <c r="A95" s="60" t="s">
        <v>59</v>
      </c>
      <c r="B95" s="61">
        <f>SUM(B96:B103)</f>
        <v>0</v>
      </c>
      <c r="C95" s="61">
        <f t="shared" ref="C95:N95" si="32">SUM(C96:C103)</f>
        <v>0</v>
      </c>
      <c r="D95" s="61">
        <f t="shared" si="32"/>
        <v>0</v>
      </c>
      <c r="E95" s="61">
        <f t="shared" si="32"/>
        <v>0</v>
      </c>
      <c r="F95" s="61">
        <f t="shared" si="32"/>
        <v>0</v>
      </c>
      <c r="G95" s="61">
        <f t="shared" si="32"/>
        <v>0</v>
      </c>
      <c r="H95" s="61">
        <f t="shared" si="32"/>
        <v>0</v>
      </c>
      <c r="I95" s="61">
        <f t="shared" si="32"/>
        <v>2000</v>
      </c>
      <c r="J95" s="61">
        <f t="shared" si="32"/>
        <v>2000</v>
      </c>
      <c r="K95" s="61">
        <f t="shared" si="32"/>
        <v>2000</v>
      </c>
      <c r="L95" s="61">
        <f t="shared" si="32"/>
        <v>0</v>
      </c>
      <c r="M95" s="61">
        <f t="shared" si="32"/>
        <v>0</v>
      </c>
      <c r="N95" s="61">
        <f t="shared" si="32"/>
        <v>6000</v>
      </c>
      <c r="O95" s="62">
        <f>N95/$N$2*100</f>
        <v>0.30385529002705164</v>
      </c>
    </row>
    <row r="96" spans="1:15" x14ac:dyDescent="0.25">
      <c r="A96" s="63" t="s">
        <v>45</v>
      </c>
      <c r="B96" s="64"/>
      <c r="C96" s="64"/>
      <c r="D96" s="64"/>
      <c r="E96" s="64"/>
      <c r="F96" s="64"/>
      <c r="G96" s="64"/>
      <c r="H96" s="64"/>
      <c r="I96" s="64">
        <v>400</v>
      </c>
      <c r="J96" s="64">
        <v>400</v>
      </c>
      <c r="K96" s="64">
        <v>400</v>
      </c>
      <c r="L96" s="64"/>
      <c r="M96" s="64"/>
      <c r="N96" s="64">
        <f t="shared" si="18"/>
        <v>1200</v>
      </c>
      <c r="O96" s="65">
        <f t="shared" ref="O96:O103" si="33">N96/$N$2*100</f>
        <v>6.0771058005410328E-2</v>
      </c>
    </row>
    <row r="97" spans="1:15" x14ac:dyDescent="0.25">
      <c r="A97" s="63" t="s">
        <v>46</v>
      </c>
      <c r="B97" s="64"/>
      <c r="C97" s="64"/>
      <c r="D97" s="64"/>
      <c r="E97" s="64"/>
      <c r="F97" s="64"/>
      <c r="G97" s="64"/>
      <c r="H97" s="64"/>
      <c r="I97" s="64">
        <v>400</v>
      </c>
      <c r="J97" s="64">
        <v>400</v>
      </c>
      <c r="K97" s="64">
        <v>400</v>
      </c>
      <c r="L97" s="64"/>
      <c r="M97" s="64"/>
      <c r="N97" s="64">
        <f t="shared" si="18"/>
        <v>1200</v>
      </c>
      <c r="O97" s="65">
        <f t="shared" si="33"/>
        <v>6.0771058005410328E-2</v>
      </c>
    </row>
    <row r="98" spans="1:15" x14ac:dyDescent="0.25">
      <c r="A98" s="63" t="s">
        <v>47</v>
      </c>
      <c r="B98" s="64"/>
      <c r="C98" s="64"/>
      <c r="D98" s="64"/>
      <c r="E98" s="64"/>
      <c r="F98" s="64"/>
      <c r="G98" s="64"/>
      <c r="H98" s="64"/>
      <c r="I98" s="64">
        <v>200</v>
      </c>
      <c r="J98" s="64">
        <v>200</v>
      </c>
      <c r="K98" s="64">
        <v>200</v>
      </c>
      <c r="L98" s="64"/>
      <c r="M98" s="64"/>
      <c r="N98" s="64">
        <f t="shared" si="18"/>
        <v>600</v>
      </c>
      <c r="O98" s="65">
        <f t="shared" si="33"/>
        <v>3.0385529002705164E-2</v>
      </c>
    </row>
    <row r="99" spans="1:15" x14ac:dyDescent="0.25">
      <c r="A99" s="63" t="s">
        <v>48</v>
      </c>
      <c r="B99" s="64"/>
      <c r="C99" s="64"/>
      <c r="D99" s="64"/>
      <c r="E99" s="64"/>
      <c r="F99" s="64"/>
      <c r="G99" s="64"/>
      <c r="H99" s="64"/>
      <c r="I99" s="64">
        <v>200</v>
      </c>
      <c r="J99" s="64">
        <v>200</v>
      </c>
      <c r="K99" s="64">
        <v>200</v>
      </c>
      <c r="L99" s="64"/>
      <c r="M99" s="64"/>
      <c r="N99" s="64">
        <f t="shared" si="18"/>
        <v>600</v>
      </c>
      <c r="O99" s="65">
        <f t="shared" si="33"/>
        <v>3.0385529002705164E-2</v>
      </c>
    </row>
    <row r="100" spans="1:15" x14ac:dyDescent="0.25">
      <c r="A100" s="63" t="s">
        <v>49</v>
      </c>
      <c r="B100" s="64"/>
      <c r="C100" s="64"/>
      <c r="D100" s="64"/>
      <c r="E100" s="64"/>
      <c r="F100" s="64"/>
      <c r="G100" s="64"/>
      <c r="H100" s="64"/>
      <c r="I100" s="64">
        <v>200</v>
      </c>
      <c r="J100" s="64">
        <v>200</v>
      </c>
      <c r="K100" s="64">
        <v>200</v>
      </c>
      <c r="L100" s="64"/>
      <c r="M100" s="64"/>
      <c r="N100" s="64">
        <f t="shared" si="18"/>
        <v>600</v>
      </c>
      <c r="O100" s="65">
        <f t="shared" si="33"/>
        <v>3.0385529002705164E-2</v>
      </c>
    </row>
    <row r="101" spans="1:15" x14ac:dyDescent="0.25">
      <c r="A101" s="63" t="s">
        <v>50</v>
      </c>
      <c r="B101" s="64"/>
      <c r="C101" s="64"/>
      <c r="D101" s="64"/>
      <c r="E101" s="64"/>
      <c r="F101" s="64"/>
      <c r="G101" s="64"/>
      <c r="H101" s="64"/>
      <c r="I101" s="64">
        <v>200</v>
      </c>
      <c r="J101" s="64">
        <v>200</v>
      </c>
      <c r="K101" s="64">
        <v>200</v>
      </c>
      <c r="L101" s="64"/>
      <c r="M101" s="64"/>
      <c r="N101" s="64">
        <f t="shared" si="18"/>
        <v>600</v>
      </c>
      <c r="O101" s="65">
        <f t="shared" si="33"/>
        <v>3.0385529002705164E-2</v>
      </c>
    </row>
    <row r="102" spans="1:15" x14ac:dyDescent="0.25">
      <c r="A102" s="63" t="s">
        <v>51</v>
      </c>
      <c r="B102" s="64"/>
      <c r="C102" s="64"/>
      <c r="D102" s="64"/>
      <c r="E102" s="64"/>
      <c r="F102" s="64"/>
      <c r="G102" s="64"/>
      <c r="H102" s="64"/>
      <c r="I102" s="64">
        <v>200</v>
      </c>
      <c r="J102" s="64">
        <v>200</v>
      </c>
      <c r="K102" s="64">
        <v>200</v>
      </c>
      <c r="L102" s="64"/>
      <c r="M102" s="64"/>
      <c r="N102" s="64">
        <f t="shared" si="18"/>
        <v>600</v>
      </c>
      <c r="O102" s="65">
        <f t="shared" si="33"/>
        <v>3.0385529002705164E-2</v>
      </c>
    </row>
    <row r="103" spans="1:15" x14ac:dyDescent="0.25">
      <c r="A103" s="63" t="s">
        <v>52</v>
      </c>
      <c r="B103" s="64"/>
      <c r="C103" s="64"/>
      <c r="D103" s="64"/>
      <c r="E103" s="64"/>
      <c r="F103" s="64"/>
      <c r="G103" s="64"/>
      <c r="H103" s="64"/>
      <c r="I103" s="64">
        <v>200</v>
      </c>
      <c r="J103" s="64">
        <v>200</v>
      </c>
      <c r="K103" s="64">
        <v>200</v>
      </c>
      <c r="L103" s="64"/>
      <c r="M103" s="64"/>
      <c r="N103" s="64">
        <f t="shared" si="18"/>
        <v>600</v>
      </c>
      <c r="O103" s="65">
        <f t="shared" si="33"/>
        <v>3.0385529002705164E-2</v>
      </c>
    </row>
    <row r="104" spans="1:15" x14ac:dyDescent="0.25">
      <c r="A104" s="60" t="s">
        <v>60</v>
      </c>
      <c r="B104" s="61">
        <f>SUM(B105:B112)</f>
        <v>0</v>
      </c>
      <c r="C104" s="61">
        <f t="shared" ref="C104:N104" si="34">SUM(C105:C112)</f>
        <v>0</v>
      </c>
      <c r="D104" s="61">
        <f t="shared" si="34"/>
        <v>0</v>
      </c>
      <c r="E104" s="61">
        <f t="shared" si="34"/>
        <v>0</v>
      </c>
      <c r="F104" s="61">
        <f t="shared" si="34"/>
        <v>0</v>
      </c>
      <c r="G104" s="61">
        <f t="shared" si="34"/>
        <v>0</v>
      </c>
      <c r="H104" s="61">
        <f t="shared" si="34"/>
        <v>0</v>
      </c>
      <c r="I104" s="61">
        <f t="shared" si="34"/>
        <v>8536</v>
      </c>
      <c r="J104" s="61">
        <f t="shared" si="34"/>
        <v>0</v>
      </c>
      <c r="K104" s="61">
        <f t="shared" si="34"/>
        <v>0</v>
      </c>
      <c r="L104" s="61">
        <f t="shared" si="34"/>
        <v>0</v>
      </c>
      <c r="M104" s="61">
        <f t="shared" si="34"/>
        <v>0</v>
      </c>
      <c r="N104" s="61">
        <f t="shared" si="34"/>
        <v>8536</v>
      </c>
      <c r="O104" s="62">
        <f>N104/$N$2*100</f>
        <v>0.43228479261181879</v>
      </c>
    </row>
    <row r="105" spans="1:15" x14ac:dyDescent="0.25">
      <c r="A105" s="63" t="s">
        <v>45</v>
      </c>
      <c r="B105" s="64"/>
      <c r="C105" s="64"/>
      <c r="D105" s="64"/>
      <c r="E105" s="64"/>
      <c r="F105" s="64"/>
      <c r="G105" s="64"/>
      <c r="H105" s="64"/>
      <c r="I105" s="64">
        <v>2000</v>
      </c>
      <c r="J105" s="64"/>
      <c r="K105" s="64"/>
      <c r="L105" s="64"/>
      <c r="M105" s="64"/>
      <c r="N105" s="64">
        <f t="shared" si="18"/>
        <v>2000</v>
      </c>
      <c r="O105" s="65">
        <f t="shared" ref="O105:O112" si="35">N105/$N$2*100</f>
        <v>0.10128509667568389</v>
      </c>
    </row>
    <row r="106" spans="1:15" x14ac:dyDescent="0.25">
      <c r="A106" s="63" t="s">
        <v>46</v>
      </c>
      <c r="B106" s="64"/>
      <c r="C106" s="64"/>
      <c r="D106" s="64"/>
      <c r="E106" s="64"/>
      <c r="F106" s="64"/>
      <c r="G106" s="64"/>
      <c r="H106" s="64"/>
      <c r="I106" s="64">
        <v>1728</v>
      </c>
      <c r="J106" s="64"/>
      <c r="K106" s="64"/>
      <c r="L106" s="64"/>
      <c r="M106" s="64"/>
      <c r="N106" s="64">
        <f t="shared" si="18"/>
        <v>1728</v>
      </c>
      <c r="O106" s="65">
        <f t="shared" si="35"/>
        <v>8.7510323527790868E-2</v>
      </c>
    </row>
    <row r="107" spans="1:15" x14ac:dyDescent="0.25">
      <c r="A107" s="63" t="s">
        <v>47</v>
      </c>
      <c r="B107" s="64"/>
      <c r="C107" s="64"/>
      <c r="D107" s="64"/>
      <c r="E107" s="64"/>
      <c r="F107" s="64"/>
      <c r="G107" s="64"/>
      <c r="H107" s="64"/>
      <c r="I107" s="64">
        <v>584</v>
      </c>
      <c r="J107" s="64"/>
      <c r="K107" s="64"/>
      <c r="L107" s="64"/>
      <c r="M107" s="64"/>
      <c r="N107" s="64">
        <f t="shared" si="18"/>
        <v>584</v>
      </c>
      <c r="O107" s="65">
        <f t="shared" si="35"/>
        <v>2.9575248229299692E-2</v>
      </c>
    </row>
    <row r="108" spans="1:15" x14ac:dyDescent="0.25">
      <c r="A108" s="63" t="s">
        <v>48</v>
      </c>
      <c r="B108" s="64"/>
      <c r="C108" s="64"/>
      <c r="D108" s="64"/>
      <c r="E108" s="64"/>
      <c r="F108" s="64"/>
      <c r="G108" s="64"/>
      <c r="H108" s="64"/>
      <c r="I108" s="64">
        <v>1248</v>
      </c>
      <c r="J108" s="64"/>
      <c r="K108" s="64"/>
      <c r="L108" s="64"/>
      <c r="M108" s="64"/>
      <c r="N108" s="64">
        <f t="shared" si="18"/>
        <v>1248</v>
      </c>
      <c r="O108" s="65">
        <f t="shared" si="35"/>
        <v>6.3201900325626739E-2</v>
      </c>
    </row>
    <row r="109" spans="1:15" x14ac:dyDescent="0.25">
      <c r="A109" s="63" t="s">
        <v>49</v>
      </c>
      <c r="B109" s="64"/>
      <c r="C109" s="64"/>
      <c r="D109" s="64"/>
      <c r="E109" s="64"/>
      <c r="F109" s="64"/>
      <c r="G109" s="64"/>
      <c r="H109" s="64"/>
      <c r="I109" s="64">
        <v>656</v>
      </c>
      <c r="J109" s="64"/>
      <c r="K109" s="64"/>
      <c r="L109" s="64"/>
      <c r="M109" s="64"/>
      <c r="N109" s="64">
        <f t="shared" si="18"/>
        <v>656</v>
      </c>
      <c r="O109" s="65">
        <f t="shared" si="35"/>
        <v>3.3221511709624313E-2</v>
      </c>
    </row>
    <row r="110" spans="1:15" x14ac:dyDescent="0.25">
      <c r="A110" s="63" t="s">
        <v>50</v>
      </c>
      <c r="B110" s="64"/>
      <c r="C110" s="64"/>
      <c r="D110" s="64"/>
      <c r="E110" s="64"/>
      <c r="F110" s="64"/>
      <c r="G110" s="64"/>
      <c r="H110" s="64"/>
      <c r="I110" s="64">
        <v>656</v>
      </c>
      <c r="J110" s="64"/>
      <c r="K110" s="64"/>
      <c r="L110" s="64"/>
      <c r="M110" s="64"/>
      <c r="N110" s="64">
        <f t="shared" si="18"/>
        <v>656</v>
      </c>
      <c r="O110" s="65">
        <f t="shared" si="35"/>
        <v>3.3221511709624313E-2</v>
      </c>
    </row>
    <row r="111" spans="1:15" x14ac:dyDescent="0.25">
      <c r="A111" s="63" t="s">
        <v>51</v>
      </c>
      <c r="B111" s="64"/>
      <c r="C111" s="64"/>
      <c r="D111" s="64"/>
      <c r="E111" s="64"/>
      <c r="F111" s="64"/>
      <c r="G111" s="64"/>
      <c r="H111" s="64"/>
      <c r="I111" s="64">
        <v>1064</v>
      </c>
      <c r="J111" s="64"/>
      <c r="K111" s="64"/>
      <c r="L111" s="64"/>
      <c r="M111" s="64"/>
      <c r="N111" s="64">
        <f t="shared" si="18"/>
        <v>1064</v>
      </c>
      <c r="O111" s="65">
        <f t="shared" si="35"/>
        <v>5.3883671431463824E-2</v>
      </c>
    </row>
    <row r="112" spans="1:15" x14ac:dyDescent="0.25">
      <c r="A112" s="63" t="s">
        <v>52</v>
      </c>
      <c r="B112" s="64"/>
      <c r="C112" s="64"/>
      <c r="D112" s="64"/>
      <c r="E112" s="64"/>
      <c r="F112" s="64"/>
      <c r="G112" s="64"/>
      <c r="H112" s="64"/>
      <c r="I112" s="64">
        <v>600</v>
      </c>
      <c r="J112" s="64"/>
      <c r="K112" s="64"/>
      <c r="L112" s="64"/>
      <c r="M112" s="64"/>
      <c r="N112" s="64">
        <f t="shared" si="18"/>
        <v>600</v>
      </c>
      <c r="O112" s="65">
        <f t="shared" si="35"/>
        <v>3.0385529002705164E-2</v>
      </c>
    </row>
    <row r="113" spans="1:15" x14ac:dyDescent="0.25">
      <c r="A113" s="66" t="s">
        <v>61</v>
      </c>
      <c r="B113" s="67">
        <f>SUM(B114:B121)</f>
        <v>0</v>
      </c>
      <c r="C113" s="67">
        <f t="shared" ref="C113:N113" si="36">SUM(C114:C121)</f>
        <v>0</v>
      </c>
      <c r="D113" s="67">
        <f t="shared" si="36"/>
        <v>0</v>
      </c>
      <c r="E113" s="67">
        <f t="shared" si="36"/>
        <v>0</v>
      </c>
      <c r="F113" s="67">
        <f t="shared" si="36"/>
        <v>0</v>
      </c>
      <c r="G113" s="67">
        <f t="shared" si="36"/>
        <v>0</v>
      </c>
      <c r="H113" s="67">
        <f t="shared" si="36"/>
        <v>0</v>
      </c>
      <c r="I113" s="67">
        <f t="shared" si="36"/>
        <v>0</v>
      </c>
      <c r="J113" s="67">
        <f t="shared" si="36"/>
        <v>0</v>
      </c>
      <c r="K113" s="67">
        <f t="shared" si="36"/>
        <v>0</v>
      </c>
      <c r="L113" s="67">
        <f t="shared" si="36"/>
        <v>0</v>
      </c>
      <c r="M113" s="67">
        <f t="shared" si="36"/>
        <v>0</v>
      </c>
      <c r="N113" s="67">
        <f t="shared" si="36"/>
        <v>0</v>
      </c>
      <c r="O113" s="68">
        <f>N113/$N$2*100</f>
        <v>0</v>
      </c>
    </row>
    <row r="114" spans="1:15" x14ac:dyDescent="0.25">
      <c r="A114" s="69" t="s">
        <v>45</v>
      </c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>
        <f t="shared" si="18"/>
        <v>0</v>
      </c>
      <c r="O114" s="71">
        <f t="shared" ref="O114:O121" si="37">N114/$N$2*100</f>
        <v>0</v>
      </c>
    </row>
    <row r="115" spans="1:15" x14ac:dyDescent="0.25">
      <c r="A115" s="69" t="s">
        <v>46</v>
      </c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>
        <f t="shared" si="18"/>
        <v>0</v>
      </c>
      <c r="O115" s="71">
        <f t="shared" si="37"/>
        <v>0</v>
      </c>
    </row>
    <row r="116" spans="1:15" x14ac:dyDescent="0.25">
      <c r="A116" s="69" t="s">
        <v>47</v>
      </c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>
        <f t="shared" si="18"/>
        <v>0</v>
      </c>
      <c r="O116" s="71">
        <f t="shared" si="37"/>
        <v>0</v>
      </c>
    </row>
    <row r="117" spans="1:15" x14ac:dyDescent="0.25">
      <c r="A117" s="69" t="s">
        <v>48</v>
      </c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>
        <f t="shared" si="18"/>
        <v>0</v>
      </c>
      <c r="O117" s="71">
        <f t="shared" si="37"/>
        <v>0</v>
      </c>
    </row>
    <row r="118" spans="1:15" x14ac:dyDescent="0.25">
      <c r="A118" s="69" t="s">
        <v>49</v>
      </c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>
        <f t="shared" si="18"/>
        <v>0</v>
      </c>
      <c r="O118" s="71">
        <f t="shared" si="37"/>
        <v>0</v>
      </c>
    </row>
    <row r="119" spans="1:15" x14ac:dyDescent="0.25">
      <c r="A119" s="69" t="s">
        <v>50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>
        <f t="shared" si="18"/>
        <v>0</v>
      </c>
      <c r="O119" s="71">
        <f t="shared" si="37"/>
        <v>0</v>
      </c>
    </row>
    <row r="120" spans="1:15" x14ac:dyDescent="0.25">
      <c r="A120" s="69" t="s">
        <v>51</v>
      </c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>
        <f t="shared" si="18"/>
        <v>0</v>
      </c>
      <c r="O120" s="71">
        <f t="shared" si="37"/>
        <v>0</v>
      </c>
    </row>
    <row r="121" spans="1:15" x14ac:dyDescent="0.25">
      <c r="A121" s="69" t="s">
        <v>52</v>
      </c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>
        <f t="shared" si="18"/>
        <v>0</v>
      </c>
      <c r="O121" s="71">
        <f t="shared" si="37"/>
        <v>0</v>
      </c>
    </row>
    <row r="122" spans="1:15" ht="30" x14ac:dyDescent="0.25">
      <c r="A122" s="66" t="s">
        <v>62</v>
      </c>
      <c r="B122" s="67">
        <f>SUM(B123:B130)</f>
        <v>0</v>
      </c>
      <c r="C122" s="67">
        <f t="shared" ref="C122:N122" si="38">SUM(C123:C130)</f>
        <v>0</v>
      </c>
      <c r="D122" s="67">
        <f t="shared" si="38"/>
        <v>0</v>
      </c>
      <c r="E122" s="67">
        <f t="shared" si="38"/>
        <v>0</v>
      </c>
      <c r="F122" s="67">
        <f t="shared" si="38"/>
        <v>0</v>
      </c>
      <c r="G122" s="67">
        <f t="shared" si="38"/>
        <v>0</v>
      </c>
      <c r="H122" s="67">
        <f t="shared" si="38"/>
        <v>0</v>
      </c>
      <c r="I122" s="67">
        <f t="shared" si="38"/>
        <v>0</v>
      </c>
      <c r="J122" s="67">
        <f t="shared" si="38"/>
        <v>5687.5392857142851</v>
      </c>
      <c r="K122" s="67">
        <f t="shared" si="38"/>
        <v>0</v>
      </c>
      <c r="L122" s="67">
        <f t="shared" si="38"/>
        <v>0</v>
      </c>
      <c r="M122" s="67">
        <f t="shared" si="38"/>
        <v>0</v>
      </c>
      <c r="N122" s="67">
        <f t="shared" si="38"/>
        <v>5687.5392857142851</v>
      </c>
      <c r="O122" s="68">
        <f>N122/$N$2*100</f>
        <v>0.2880314832001607</v>
      </c>
    </row>
    <row r="123" spans="1:15" x14ac:dyDescent="0.25">
      <c r="A123" s="69" t="s">
        <v>45</v>
      </c>
      <c r="B123" s="70"/>
      <c r="C123" s="70"/>
      <c r="D123" s="70"/>
      <c r="E123" s="70"/>
      <c r="F123" s="70"/>
      <c r="G123" s="70"/>
      <c r="H123" s="70"/>
      <c r="I123" s="70"/>
      <c r="J123" s="70">
        <v>1086.492857142857</v>
      </c>
      <c r="K123" s="70"/>
      <c r="L123" s="70"/>
      <c r="M123" s="70"/>
      <c r="N123" s="70">
        <f t="shared" si="18"/>
        <v>1086.492857142857</v>
      </c>
      <c r="O123" s="71">
        <f t="shared" ref="O123:O130" si="39">N123/$N$2*100</f>
        <v>5.5022767036577137E-2</v>
      </c>
    </row>
    <row r="124" spans="1:15" x14ac:dyDescent="0.25">
      <c r="A124" s="69" t="s">
        <v>46</v>
      </c>
      <c r="B124" s="70"/>
      <c r="C124" s="70"/>
      <c r="D124" s="70"/>
      <c r="E124" s="70"/>
      <c r="F124" s="70"/>
      <c r="G124" s="70"/>
      <c r="H124" s="70"/>
      <c r="I124" s="70"/>
      <c r="J124" s="70">
        <v>851.48571428571427</v>
      </c>
      <c r="K124" s="70"/>
      <c r="L124" s="70"/>
      <c r="M124" s="70"/>
      <c r="N124" s="70">
        <f t="shared" si="18"/>
        <v>851.48571428571427</v>
      </c>
      <c r="O124" s="71">
        <f t="shared" si="39"/>
        <v>4.3121406444696156E-2</v>
      </c>
    </row>
    <row r="125" spans="1:15" x14ac:dyDescent="0.25">
      <c r="A125" s="69" t="s">
        <v>47</v>
      </c>
      <c r="B125" s="70"/>
      <c r="C125" s="70"/>
      <c r="D125" s="70"/>
      <c r="E125" s="70"/>
      <c r="F125" s="70"/>
      <c r="G125" s="70"/>
      <c r="H125" s="70"/>
      <c r="I125" s="70"/>
      <c r="J125" s="70">
        <v>716.99642857142862</v>
      </c>
      <c r="K125" s="70"/>
      <c r="L125" s="70"/>
      <c r="M125" s="70"/>
      <c r="N125" s="70">
        <f t="shared" si="18"/>
        <v>716.99642857142862</v>
      </c>
      <c r="O125" s="71">
        <f t="shared" si="39"/>
        <v>3.631052629198861E-2</v>
      </c>
    </row>
    <row r="126" spans="1:15" x14ac:dyDescent="0.25">
      <c r="A126" s="69" t="s">
        <v>48</v>
      </c>
      <c r="B126" s="70"/>
      <c r="C126" s="70"/>
      <c r="D126" s="70"/>
      <c r="E126" s="70"/>
      <c r="F126" s="70"/>
      <c r="G126" s="70"/>
      <c r="H126" s="70"/>
      <c r="I126" s="70"/>
      <c r="J126" s="70">
        <v>1192.5142857142857</v>
      </c>
      <c r="K126" s="70"/>
      <c r="L126" s="70"/>
      <c r="M126" s="70"/>
      <c r="N126" s="70">
        <f t="shared" si="18"/>
        <v>1192.5142857142857</v>
      </c>
      <c r="O126" s="71">
        <f t="shared" si="39"/>
        <v>6.0391962357852776E-2</v>
      </c>
    </row>
    <row r="127" spans="1:15" x14ac:dyDescent="0.25">
      <c r="A127" s="69" t="s">
        <v>49</v>
      </c>
      <c r="B127" s="70"/>
      <c r="C127" s="70"/>
      <c r="D127" s="70"/>
      <c r="E127" s="70"/>
      <c r="F127" s="70"/>
      <c r="G127" s="70"/>
      <c r="H127" s="70"/>
      <c r="I127" s="70"/>
      <c r="J127" s="70">
        <v>314.75714285714287</v>
      </c>
      <c r="K127" s="70"/>
      <c r="L127" s="70"/>
      <c r="M127" s="70"/>
      <c r="N127" s="70">
        <f t="shared" ref="N127:N130" si="40">SUM(B127:M127)</f>
        <v>314.75714285714287</v>
      </c>
      <c r="O127" s="71">
        <f t="shared" si="39"/>
        <v>1.5940103821823877E-2</v>
      </c>
    </row>
    <row r="128" spans="1:15" x14ac:dyDescent="0.25">
      <c r="A128" s="69" t="s">
        <v>50</v>
      </c>
      <c r="B128" s="70"/>
      <c r="C128" s="70"/>
      <c r="D128" s="70"/>
      <c r="E128" s="70"/>
      <c r="F128" s="70"/>
      <c r="G128" s="70"/>
      <c r="H128" s="70"/>
      <c r="I128" s="70"/>
      <c r="J128" s="70">
        <v>314.75714285714287</v>
      </c>
      <c r="K128" s="70"/>
      <c r="L128" s="70"/>
      <c r="M128" s="70"/>
      <c r="N128" s="70">
        <f t="shared" si="40"/>
        <v>314.75714285714287</v>
      </c>
      <c r="O128" s="71">
        <f t="shared" si="39"/>
        <v>1.5940103821823877E-2</v>
      </c>
    </row>
    <row r="129" spans="1:15" x14ac:dyDescent="0.25">
      <c r="A129" s="69" t="s">
        <v>51</v>
      </c>
      <c r="B129" s="70"/>
      <c r="C129" s="70"/>
      <c r="D129" s="70"/>
      <c r="E129" s="70"/>
      <c r="F129" s="70"/>
      <c r="G129" s="70"/>
      <c r="H129" s="70"/>
      <c r="I129" s="70"/>
      <c r="J129" s="70">
        <v>673.63928571428573</v>
      </c>
      <c r="K129" s="70"/>
      <c r="L129" s="70"/>
      <c r="M129" s="70"/>
      <c r="N129" s="70">
        <f t="shared" si="40"/>
        <v>673.63928571428573</v>
      </c>
      <c r="O129" s="71">
        <f t="shared" si="39"/>
        <v>3.4114810089055037E-2</v>
      </c>
    </row>
    <row r="130" spans="1:15" x14ac:dyDescent="0.25">
      <c r="A130" s="69" t="s">
        <v>52</v>
      </c>
      <c r="B130" s="70"/>
      <c r="C130" s="70"/>
      <c r="D130" s="70"/>
      <c r="E130" s="70"/>
      <c r="F130" s="70"/>
      <c r="G130" s="70"/>
      <c r="H130" s="70"/>
      <c r="I130" s="70"/>
      <c r="J130" s="70">
        <v>536.8964285714286</v>
      </c>
      <c r="K130" s="70"/>
      <c r="L130" s="70"/>
      <c r="M130" s="70"/>
      <c r="N130" s="70">
        <f t="shared" si="40"/>
        <v>536.8964285714286</v>
      </c>
      <c r="O130" s="71">
        <f t="shared" si="39"/>
        <v>2.7189803336343275E-2</v>
      </c>
    </row>
    <row r="131" spans="1:15" x14ac:dyDescent="0.25">
      <c r="A131" s="66" t="s">
        <v>63</v>
      </c>
      <c r="B131" s="67">
        <f>SUM(B132:B139)</f>
        <v>0</v>
      </c>
      <c r="C131" s="67">
        <f t="shared" ref="C131:N131" si="41">SUM(C132:C139)</f>
        <v>0</v>
      </c>
      <c r="D131" s="67">
        <f t="shared" si="41"/>
        <v>0</v>
      </c>
      <c r="E131" s="67">
        <f t="shared" si="41"/>
        <v>0</v>
      </c>
      <c r="F131" s="67">
        <f t="shared" si="41"/>
        <v>0</v>
      </c>
      <c r="G131" s="67">
        <f t="shared" si="41"/>
        <v>0</v>
      </c>
      <c r="H131" s="67">
        <f t="shared" si="41"/>
        <v>0</v>
      </c>
      <c r="I131" s="67">
        <f t="shared" si="41"/>
        <v>0</v>
      </c>
      <c r="J131" s="67">
        <f t="shared" si="41"/>
        <v>2000</v>
      </c>
      <c r="K131" s="67">
        <f t="shared" si="41"/>
        <v>2000</v>
      </c>
      <c r="L131" s="67">
        <f t="shared" si="41"/>
        <v>2000</v>
      </c>
      <c r="M131" s="67">
        <f t="shared" si="41"/>
        <v>0</v>
      </c>
      <c r="N131" s="67">
        <f t="shared" si="41"/>
        <v>6000</v>
      </c>
      <c r="O131" s="68">
        <f>N131/$N$2*100</f>
        <v>0.30385529002705164</v>
      </c>
    </row>
    <row r="132" spans="1:15" x14ac:dyDescent="0.25">
      <c r="A132" s="69" t="s">
        <v>45</v>
      </c>
      <c r="B132" s="70"/>
      <c r="C132" s="70"/>
      <c r="D132" s="70"/>
      <c r="E132" s="70"/>
      <c r="F132" s="70"/>
      <c r="G132" s="70"/>
      <c r="H132" s="70"/>
      <c r="I132" s="70"/>
      <c r="J132" s="70">
        <v>400</v>
      </c>
      <c r="K132" s="70">
        <v>400</v>
      </c>
      <c r="L132" s="70">
        <v>400</v>
      </c>
      <c r="M132" s="70"/>
      <c r="N132" s="70">
        <f t="shared" ref="N132:N139" si="42">SUM(B132:M132)</f>
        <v>1200</v>
      </c>
      <c r="O132" s="71">
        <f t="shared" ref="O132:O139" si="43">N132/$N$2*100</f>
        <v>6.0771058005410328E-2</v>
      </c>
    </row>
    <row r="133" spans="1:15" x14ac:dyDescent="0.25">
      <c r="A133" s="69" t="s">
        <v>46</v>
      </c>
      <c r="B133" s="70"/>
      <c r="C133" s="70"/>
      <c r="D133" s="70"/>
      <c r="E133" s="70"/>
      <c r="F133" s="70"/>
      <c r="G133" s="70"/>
      <c r="H133" s="70"/>
      <c r="I133" s="70"/>
      <c r="J133" s="70">
        <v>400</v>
      </c>
      <c r="K133" s="70">
        <v>400</v>
      </c>
      <c r="L133" s="70">
        <v>400</v>
      </c>
      <c r="M133" s="70"/>
      <c r="N133" s="70">
        <f t="shared" si="42"/>
        <v>1200</v>
      </c>
      <c r="O133" s="71">
        <f t="shared" si="43"/>
        <v>6.0771058005410328E-2</v>
      </c>
    </row>
    <row r="134" spans="1:15" x14ac:dyDescent="0.25">
      <c r="A134" s="69" t="s">
        <v>47</v>
      </c>
      <c r="B134" s="70"/>
      <c r="C134" s="70"/>
      <c r="D134" s="70"/>
      <c r="E134" s="70"/>
      <c r="F134" s="70"/>
      <c r="G134" s="70"/>
      <c r="H134" s="70"/>
      <c r="I134" s="70"/>
      <c r="J134" s="70">
        <v>200</v>
      </c>
      <c r="K134" s="70">
        <v>200</v>
      </c>
      <c r="L134" s="70">
        <v>200</v>
      </c>
      <c r="M134" s="70"/>
      <c r="N134" s="70">
        <f t="shared" si="42"/>
        <v>600</v>
      </c>
      <c r="O134" s="71">
        <f t="shared" si="43"/>
        <v>3.0385529002705164E-2</v>
      </c>
    </row>
    <row r="135" spans="1:15" x14ac:dyDescent="0.25">
      <c r="A135" s="69" t="s">
        <v>48</v>
      </c>
      <c r="B135" s="70"/>
      <c r="C135" s="70"/>
      <c r="D135" s="70"/>
      <c r="E135" s="70"/>
      <c r="F135" s="70"/>
      <c r="G135" s="70"/>
      <c r="H135" s="70"/>
      <c r="I135" s="70"/>
      <c r="J135" s="70">
        <v>200</v>
      </c>
      <c r="K135" s="70">
        <v>200</v>
      </c>
      <c r="L135" s="70">
        <v>200</v>
      </c>
      <c r="M135" s="70"/>
      <c r="N135" s="70">
        <f t="shared" si="42"/>
        <v>600</v>
      </c>
      <c r="O135" s="71">
        <f t="shared" si="43"/>
        <v>3.0385529002705164E-2</v>
      </c>
    </row>
    <row r="136" spans="1:15" x14ac:dyDescent="0.25">
      <c r="A136" s="69" t="s">
        <v>49</v>
      </c>
      <c r="B136" s="70"/>
      <c r="C136" s="70"/>
      <c r="D136" s="70"/>
      <c r="E136" s="70"/>
      <c r="F136" s="70"/>
      <c r="G136" s="70"/>
      <c r="H136" s="70"/>
      <c r="I136" s="70"/>
      <c r="J136" s="70">
        <v>200</v>
      </c>
      <c r="K136" s="70">
        <v>200</v>
      </c>
      <c r="L136" s="70">
        <v>200</v>
      </c>
      <c r="M136" s="70"/>
      <c r="N136" s="70">
        <f t="shared" si="42"/>
        <v>600</v>
      </c>
      <c r="O136" s="71">
        <f t="shared" si="43"/>
        <v>3.0385529002705164E-2</v>
      </c>
    </row>
    <row r="137" spans="1:15" x14ac:dyDescent="0.25">
      <c r="A137" s="69" t="s">
        <v>50</v>
      </c>
      <c r="B137" s="70"/>
      <c r="C137" s="70"/>
      <c r="D137" s="70"/>
      <c r="E137" s="70"/>
      <c r="F137" s="70"/>
      <c r="G137" s="70"/>
      <c r="H137" s="70"/>
      <c r="I137" s="70"/>
      <c r="J137" s="70">
        <v>200</v>
      </c>
      <c r="K137" s="70">
        <v>200</v>
      </c>
      <c r="L137" s="70">
        <v>200</v>
      </c>
      <c r="M137" s="70"/>
      <c r="N137" s="70">
        <f t="shared" si="42"/>
        <v>600</v>
      </c>
      <c r="O137" s="71">
        <f t="shared" si="43"/>
        <v>3.0385529002705164E-2</v>
      </c>
    </row>
    <row r="138" spans="1:15" x14ac:dyDescent="0.25">
      <c r="A138" s="69" t="s">
        <v>51</v>
      </c>
      <c r="B138" s="70"/>
      <c r="C138" s="70"/>
      <c r="D138" s="70"/>
      <c r="E138" s="70"/>
      <c r="F138" s="70"/>
      <c r="G138" s="70"/>
      <c r="H138" s="70"/>
      <c r="I138" s="70"/>
      <c r="J138" s="70">
        <v>200</v>
      </c>
      <c r="K138" s="70">
        <v>200</v>
      </c>
      <c r="L138" s="70">
        <v>200</v>
      </c>
      <c r="M138" s="70"/>
      <c r="N138" s="70">
        <f t="shared" si="42"/>
        <v>600</v>
      </c>
      <c r="O138" s="71">
        <f t="shared" si="43"/>
        <v>3.0385529002705164E-2</v>
      </c>
    </row>
    <row r="139" spans="1:15" x14ac:dyDescent="0.25">
      <c r="A139" s="69" t="s">
        <v>52</v>
      </c>
      <c r="B139" s="70"/>
      <c r="C139" s="70"/>
      <c r="D139" s="70"/>
      <c r="E139" s="70"/>
      <c r="F139" s="70"/>
      <c r="G139" s="70"/>
      <c r="H139" s="70"/>
      <c r="I139" s="70"/>
      <c r="J139" s="70">
        <v>200</v>
      </c>
      <c r="K139" s="70">
        <v>200</v>
      </c>
      <c r="L139" s="70">
        <v>200</v>
      </c>
      <c r="M139" s="70"/>
      <c r="N139" s="70">
        <f t="shared" si="42"/>
        <v>600</v>
      </c>
      <c r="O139" s="71">
        <f t="shared" si="43"/>
        <v>3.0385529002705164E-2</v>
      </c>
    </row>
    <row r="140" spans="1:15" x14ac:dyDescent="0.25">
      <c r="A140" s="66" t="s">
        <v>64</v>
      </c>
      <c r="B140" s="67">
        <f>SUM(B141:B148)</f>
        <v>0</v>
      </c>
      <c r="C140" s="67">
        <f t="shared" ref="C140:N140" si="44">SUM(C141:C148)</f>
        <v>0</v>
      </c>
      <c r="D140" s="67">
        <f t="shared" si="44"/>
        <v>0</v>
      </c>
      <c r="E140" s="67">
        <f t="shared" si="44"/>
        <v>0</v>
      </c>
      <c r="F140" s="67">
        <f t="shared" si="44"/>
        <v>0</v>
      </c>
      <c r="G140" s="67">
        <f t="shared" si="44"/>
        <v>0</v>
      </c>
      <c r="H140" s="67">
        <f t="shared" si="44"/>
        <v>0</v>
      </c>
      <c r="I140" s="67">
        <f t="shared" si="44"/>
        <v>0</v>
      </c>
      <c r="J140" s="67">
        <f t="shared" si="44"/>
        <v>8536</v>
      </c>
      <c r="K140" s="67">
        <f t="shared" si="44"/>
        <v>0</v>
      </c>
      <c r="L140" s="67">
        <f t="shared" si="44"/>
        <v>0</v>
      </c>
      <c r="M140" s="67">
        <f t="shared" si="44"/>
        <v>0</v>
      </c>
      <c r="N140" s="67">
        <f t="shared" si="44"/>
        <v>8536</v>
      </c>
      <c r="O140" s="68">
        <f>N140/$N$2*100</f>
        <v>0.43228479261181879</v>
      </c>
    </row>
    <row r="141" spans="1:15" x14ac:dyDescent="0.25">
      <c r="A141" s="69" t="s">
        <v>45</v>
      </c>
      <c r="B141" s="70"/>
      <c r="C141" s="70"/>
      <c r="D141" s="70"/>
      <c r="E141" s="70"/>
      <c r="F141" s="70"/>
      <c r="G141" s="70"/>
      <c r="H141" s="70"/>
      <c r="I141" s="70"/>
      <c r="J141" s="70">
        <v>2000</v>
      </c>
      <c r="K141" s="70"/>
      <c r="L141" s="70"/>
      <c r="M141" s="70"/>
      <c r="N141" s="70">
        <f t="shared" ref="N141:N148" si="45">SUM(B141:M141)</f>
        <v>2000</v>
      </c>
      <c r="O141" s="71">
        <f t="shared" ref="O141:O148" si="46">N141/$N$2*100</f>
        <v>0.10128509667568389</v>
      </c>
    </row>
    <row r="142" spans="1:15" x14ac:dyDescent="0.25">
      <c r="A142" s="69" t="s">
        <v>46</v>
      </c>
      <c r="B142" s="70"/>
      <c r="C142" s="70"/>
      <c r="D142" s="70"/>
      <c r="E142" s="70"/>
      <c r="F142" s="70"/>
      <c r="G142" s="70"/>
      <c r="H142" s="70"/>
      <c r="I142" s="70"/>
      <c r="J142" s="70">
        <v>1728</v>
      </c>
      <c r="K142" s="70"/>
      <c r="L142" s="70"/>
      <c r="M142" s="70"/>
      <c r="N142" s="70">
        <f t="shared" si="45"/>
        <v>1728</v>
      </c>
      <c r="O142" s="71">
        <f t="shared" si="46"/>
        <v>8.7510323527790868E-2</v>
      </c>
    </row>
    <row r="143" spans="1:15" x14ac:dyDescent="0.25">
      <c r="A143" s="69" t="s">
        <v>47</v>
      </c>
      <c r="B143" s="70"/>
      <c r="C143" s="70"/>
      <c r="D143" s="70"/>
      <c r="E143" s="70"/>
      <c r="F143" s="70"/>
      <c r="G143" s="70"/>
      <c r="H143" s="70"/>
      <c r="I143" s="70"/>
      <c r="J143" s="70">
        <v>584</v>
      </c>
      <c r="K143" s="70"/>
      <c r="L143" s="70"/>
      <c r="M143" s="70"/>
      <c r="N143" s="70">
        <f t="shared" si="45"/>
        <v>584</v>
      </c>
      <c r="O143" s="71">
        <f t="shared" si="46"/>
        <v>2.9575248229299692E-2</v>
      </c>
    </row>
    <row r="144" spans="1:15" x14ac:dyDescent="0.25">
      <c r="A144" s="69" t="s">
        <v>48</v>
      </c>
      <c r="B144" s="70"/>
      <c r="C144" s="70"/>
      <c r="D144" s="70"/>
      <c r="E144" s="70"/>
      <c r="F144" s="70"/>
      <c r="G144" s="70"/>
      <c r="H144" s="70"/>
      <c r="I144" s="70"/>
      <c r="J144" s="70">
        <v>1248</v>
      </c>
      <c r="K144" s="70"/>
      <c r="L144" s="70"/>
      <c r="M144" s="70"/>
      <c r="N144" s="70">
        <f t="shared" si="45"/>
        <v>1248</v>
      </c>
      <c r="O144" s="71">
        <f t="shared" si="46"/>
        <v>6.3201900325626739E-2</v>
      </c>
    </row>
    <row r="145" spans="1:15" x14ac:dyDescent="0.25">
      <c r="A145" s="69" t="s">
        <v>49</v>
      </c>
      <c r="B145" s="70"/>
      <c r="C145" s="70"/>
      <c r="D145" s="70"/>
      <c r="E145" s="70"/>
      <c r="F145" s="70"/>
      <c r="G145" s="70"/>
      <c r="H145" s="70"/>
      <c r="I145" s="70"/>
      <c r="J145" s="70">
        <v>656</v>
      </c>
      <c r="K145" s="70"/>
      <c r="L145" s="70"/>
      <c r="M145" s="70"/>
      <c r="N145" s="70">
        <f t="shared" si="45"/>
        <v>656</v>
      </c>
      <c r="O145" s="71">
        <f t="shared" si="46"/>
        <v>3.3221511709624313E-2</v>
      </c>
    </row>
    <row r="146" spans="1:15" x14ac:dyDescent="0.25">
      <c r="A146" s="69" t="s">
        <v>50</v>
      </c>
      <c r="B146" s="70"/>
      <c r="C146" s="70"/>
      <c r="D146" s="70"/>
      <c r="E146" s="70"/>
      <c r="F146" s="70"/>
      <c r="G146" s="70"/>
      <c r="H146" s="70"/>
      <c r="I146" s="70"/>
      <c r="J146" s="70">
        <v>656</v>
      </c>
      <c r="K146" s="70"/>
      <c r="L146" s="70"/>
      <c r="M146" s="70"/>
      <c r="N146" s="70">
        <f t="shared" si="45"/>
        <v>656</v>
      </c>
      <c r="O146" s="71">
        <f t="shared" si="46"/>
        <v>3.3221511709624313E-2</v>
      </c>
    </row>
    <row r="147" spans="1:15" x14ac:dyDescent="0.25">
      <c r="A147" s="69" t="s">
        <v>51</v>
      </c>
      <c r="B147" s="70"/>
      <c r="C147" s="70"/>
      <c r="D147" s="70"/>
      <c r="E147" s="70"/>
      <c r="F147" s="70"/>
      <c r="G147" s="70"/>
      <c r="H147" s="70"/>
      <c r="I147" s="70"/>
      <c r="J147" s="70">
        <v>1064</v>
      </c>
      <c r="K147" s="70"/>
      <c r="L147" s="70"/>
      <c r="M147" s="70"/>
      <c r="N147" s="70">
        <f t="shared" si="45"/>
        <v>1064</v>
      </c>
      <c r="O147" s="71">
        <f t="shared" si="46"/>
        <v>5.3883671431463824E-2</v>
      </c>
    </row>
    <row r="148" spans="1:15" x14ac:dyDescent="0.25">
      <c r="A148" s="69" t="s">
        <v>52</v>
      </c>
      <c r="B148" s="70"/>
      <c r="C148" s="70"/>
      <c r="D148" s="70"/>
      <c r="E148" s="70"/>
      <c r="F148" s="70"/>
      <c r="G148" s="70"/>
      <c r="H148" s="70"/>
      <c r="I148" s="70"/>
      <c r="J148" s="70">
        <v>600</v>
      </c>
      <c r="K148" s="70"/>
      <c r="L148" s="70"/>
      <c r="M148" s="70"/>
      <c r="N148" s="70">
        <f t="shared" si="45"/>
        <v>600</v>
      </c>
      <c r="O148" s="71">
        <f t="shared" si="46"/>
        <v>3.0385529002705164E-2</v>
      </c>
    </row>
    <row r="149" spans="1:15" x14ac:dyDescent="0.25">
      <c r="A149" s="72" t="s">
        <v>65</v>
      </c>
      <c r="B149" s="73">
        <f>SUM(B150:B157)</f>
        <v>0</v>
      </c>
      <c r="C149" s="73">
        <f t="shared" ref="C149:N149" si="47">SUM(C150:C157)</f>
        <v>0</v>
      </c>
      <c r="D149" s="73">
        <f t="shared" si="47"/>
        <v>0</v>
      </c>
      <c r="E149" s="73">
        <f t="shared" si="47"/>
        <v>0</v>
      </c>
      <c r="F149" s="73">
        <f t="shared" si="47"/>
        <v>0</v>
      </c>
      <c r="G149" s="73">
        <f t="shared" si="47"/>
        <v>0</v>
      </c>
      <c r="H149" s="73">
        <f t="shared" si="47"/>
        <v>0</v>
      </c>
      <c r="I149" s="73">
        <f t="shared" si="47"/>
        <v>0</v>
      </c>
      <c r="J149" s="73">
        <f t="shared" si="47"/>
        <v>0</v>
      </c>
      <c r="K149" s="73">
        <f t="shared" si="47"/>
        <v>0</v>
      </c>
      <c r="L149" s="73">
        <f t="shared" si="47"/>
        <v>0</v>
      </c>
      <c r="M149" s="73">
        <f t="shared" si="47"/>
        <v>0</v>
      </c>
      <c r="N149" s="73">
        <f t="shared" si="47"/>
        <v>0</v>
      </c>
      <c r="O149" s="74">
        <f>N149/$N$2*100</f>
        <v>0</v>
      </c>
    </row>
    <row r="150" spans="1:15" x14ac:dyDescent="0.25">
      <c r="A150" s="75" t="s">
        <v>45</v>
      </c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>
        <f t="shared" ref="N150:N157" si="48">SUM(B150:M150)</f>
        <v>0</v>
      </c>
      <c r="O150" s="77">
        <f t="shared" ref="O150:O157" si="49">N150/$N$2*100</f>
        <v>0</v>
      </c>
    </row>
    <row r="151" spans="1:15" x14ac:dyDescent="0.25">
      <c r="A151" s="75" t="s">
        <v>46</v>
      </c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>
        <f t="shared" si="48"/>
        <v>0</v>
      </c>
      <c r="O151" s="77">
        <f t="shared" si="49"/>
        <v>0</v>
      </c>
    </row>
    <row r="152" spans="1:15" x14ac:dyDescent="0.25">
      <c r="A152" s="75" t="s">
        <v>47</v>
      </c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>
        <f t="shared" si="48"/>
        <v>0</v>
      </c>
      <c r="O152" s="77">
        <f t="shared" si="49"/>
        <v>0</v>
      </c>
    </row>
    <row r="153" spans="1:15" x14ac:dyDescent="0.25">
      <c r="A153" s="75" t="s">
        <v>48</v>
      </c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>
        <f t="shared" si="48"/>
        <v>0</v>
      </c>
      <c r="O153" s="77">
        <f t="shared" si="49"/>
        <v>0</v>
      </c>
    </row>
    <row r="154" spans="1:15" x14ac:dyDescent="0.25">
      <c r="A154" s="75" t="s">
        <v>49</v>
      </c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>
        <f t="shared" si="48"/>
        <v>0</v>
      </c>
      <c r="O154" s="77">
        <f t="shared" si="49"/>
        <v>0</v>
      </c>
    </row>
    <row r="155" spans="1:15" x14ac:dyDescent="0.25">
      <c r="A155" s="75" t="s">
        <v>50</v>
      </c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>
        <f t="shared" si="48"/>
        <v>0</v>
      </c>
      <c r="O155" s="77">
        <f t="shared" si="49"/>
        <v>0</v>
      </c>
    </row>
    <row r="156" spans="1:15" x14ac:dyDescent="0.25">
      <c r="A156" s="75" t="s">
        <v>51</v>
      </c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>
        <f t="shared" si="48"/>
        <v>0</v>
      </c>
      <c r="O156" s="77">
        <f t="shared" si="49"/>
        <v>0</v>
      </c>
    </row>
    <row r="157" spans="1:15" x14ac:dyDescent="0.25">
      <c r="A157" s="75" t="s">
        <v>52</v>
      </c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>
        <f t="shared" si="48"/>
        <v>0</v>
      </c>
      <c r="O157" s="77">
        <f t="shared" si="49"/>
        <v>0</v>
      </c>
    </row>
    <row r="158" spans="1:15" ht="30" x14ac:dyDescent="0.25">
      <c r="A158" s="72" t="s">
        <v>66</v>
      </c>
      <c r="B158" s="73">
        <f>SUM(B159:B166)</f>
        <v>0</v>
      </c>
      <c r="C158" s="73">
        <f t="shared" ref="C158:N158" si="50">SUM(C159:C166)</f>
        <v>0</v>
      </c>
      <c r="D158" s="73">
        <f t="shared" si="50"/>
        <v>0</v>
      </c>
      <c r="E158" s="73">
        <f t="shared" si="50"/>
        <v>0</v>
      </c>
      <c r="F158" s="73">
        <f t="shared" si="50"/>
        <v>0</v>
      </c>
      <c r="G158" s="73">
        <f t="shared" si="50"/>
        <v>0</v>
      </c>
      <c r="H158" s="73">
        <f t="shared" si="50"/>
        <v>0</v>
      </c>
      <c r="I158" s="73">
        <f t="shared" si="50"/>
        <v>0</v>
      </c>
      <c r="J158" s="73">
        <f t="shared" si="50"/>
        <v>0</v>
      </c>
      <c r="K158" s="73">
        <f t="shared" si="50"/>
        <v>5687.5392857142851</v>
      </c>
      <c r="L158" s="73">
        <f t="shared" si="50"/>
        <v>0</v>
      </c>
      <c r="M158" s="73">
        <f t="shared" si="50"/>
        <v>0</v>
      </c>
      <c r="N158" s="73">
        <f t="shared" si="50"/>
        <v>5687.5392857142851</v>
      </c>
      <c r="O158" s="74">
        <f>N158/$N$2*100</f>
        <v>0.2880314832001607</v>
      </c>
    </row>
    <row r="159" spans="1:15" x14ac:dyDescent="0.25">
      <c r="A159" s="75" t="s">
        <v>45</v>
      </c>
      <c r="B159" s="76"/>
      <c r="C159" s="76"/>
      <c r="D159" s="76"/>
      <c r="E159" s="76"/>
      <c r="F159" s="76"/>
      <c r="G159" s="76"/>
      <c r="H159" s="76"/>
      <c r="I159" s="76"/>
      <c r="J159" s="76"/>
      <c r="K159" s="76">
        <v>1086.492857142857</v>
      </c>
      <c r="L159" s="76"/>
      <c r="M159" s="76"/>
      <c r="N159" s="76">
        <f t="shared" ref="N159:N166" si="51">SUM(B159:M159)</f>
        <v>1086.492857142857</v>
      </c>
      <c r="O159" s="77">
        <f t="shared" ref="O159:O166" si="52">N159/$N$2*100</f>
        <v>5.5022767036577137E-2</v>
      </c>
    </row>
    <row r="160" spans="1:15" x14ac:dyDescent="0.25">
      <c r="A160" s="75" t="s">
        <v>46</v>
      </c>
      <c r="B160" s="76"/>
      <c r="C160" s="76"/>
      <c r="D160" s="76"/>
      <c r="E160" s="76"/>
      <c r="F160" s="76"/>
      <c r="G160" s="76"/>
      <c r="H160" s="76"/>
      <c r="I160" s="76"/>
      <c r="J160" s="76"/>
      <c r="K160" s="76">
        <v>851.48571428571427</v>
      </c>
      <c r="L160" s="76"/>
      <c r="M160" s="76"/>
      <c r="N160" s="76">
        <f t="shared" si="51"/>
        <v>851.48571428571427</v>
      </c>
      <c r="O160" s="77">
        <f t="shared" si="52"/>
        <v>4.3121406444696156E-2</v>
      </c>
    </row>
    <row r="161" spans="1:15" x14ac:dyDescent="0.25">
      <c r="A161" s="75" t="s">
        <v>47</v>
      </c>
      <c r="B161" s="76"/>
      <c r="C161" s="76"/>
      <c r="D161" s="76"/>
      <c r="E161" s="76"/>
      <c r="F161" s="76"/>
      <c r="G161" s="76"/>
      <c r="H161" s="76"/>
      <c r="I161" s="76"/>
      <c r="J161" s="76"/>
      <c r="K161" s="76">
        <v>716.99642857142862</v>
      </c>
      <c r="L161" s="76"/>
      <c r="M161" s="76"/>
      <c r="N161" s="76">
        <f t="shared" si="51"/>
        <v>716.99642857142862</v>
      </c>
      <c r="O161" s="77">
        <f t="shared" si="52"/>
        <v>3.631052629198861E-2</v>
      </c>
    </row>
    <row r="162" spans="1:15" x14ac:dyDescent="0.25">
      <c r="A162" s="75" t="s">
        <v>48</v>
      </c>
      <c r="B162" s="76"/>
      <c r="C162" s="76"/>
      <c r="D162" s="76"/>
      <c r="E162" s="76"/>
      <c r="F162" s="76"/>
      <c r="G162" s="76"/>
      <c r="H162" s="76"/>
      <c r="I162" s="76"/>
      <c r="J162" s="76"/>
      <c r="K162" s="76">
        <v>1192.5142857142857</v>
      </c>
      <c r="L162" s="76"/>
      <c r="M162" s="76"/>
      <c r="N162" s="76">
        <f t="shared" si="51"/>
        <v>1192.5142857142857</v>
      </c>
      <c r="O162" s="77">
        <f t="shared" si="52"/>
        <v>6.0391962357852776E-2</v>
      </c>
    </row>
    <row r="163" spans="1:15" x14ac:dyDescent="0.25">
      <c r="A163" s="75" t="s">
        <v>49</v>
      </c>
      <c r="B163" s="76"/>
      <c r="C163" s="76"/>
      <c r="D163" s="76"/>
      <c r="E163" s="76"/>
      <c r="F163" s="76"/>
      <c r="G163" s="76"/>
      <c r="H163" s="76"/>
      <c r="I163" s="76"/>
      <c r="J163" s="76"/>
      <c r="K163" s="76">
        <v>314.75714285714287</v>
      </c>
      <c r="L163" s="76"/>
      <c r="M163" s="76"/>
      <c r="N163" s="76">
        <f t="shared" si="51"/>
        <v>314.75714285714287</v>
      </c>
      <c r="O163" s="77">
        <f t="shared" si="52"/>
        <v>1.5940103821823877E-2</v>
      </c>
    </row>
    <row r="164" spans="1:15" x14ac:dyDescent="0.25">
      <c r="A164" s="75" t="s">
        <v>50</v>
      </c>
      <c r="B164" s="76"/>
      <c r="C164" s="76"/>
      <c r="D164" s="76"/>
      <c r="E164" s="76"/>
      <c r="F164" s="76"/>
      <c r="G164" s="76"/>
      <c r="H164" s="76"/>
      <c r="I164" s="76"/>
      <c r="J164" s="76"/>
      <c r="K164" s="76">
        <v>314.75714285714287</v>
      </c>
      <c r="L164" s="76"/>
      <c r="M164" s="76"/>
      <c r="N164" s="76">
        <f t="shared" si="51"/>
        <v>314.75714285714287</v>
      </c>
      <c r="O164" s="77">
        <f t="shared" si="52"/>
        <v>1.5940103821823877E-2</v>
      </c>
    </row>
    <row r="165" spans="1:15" x14ac:dyDescent="0.25">
      <c r="A165" s="75" t="s">
        <v>51</v>
      </c>
      <c r="B165" s="76"/>
      <c r="C165" s="76"/>
      <c r="D165" s="76"/>
      <c r="E165" s="76"/>
      <c r="F165" s="76"/>
      <c r="G165" s="76"/>
      <c r="H165" s="76"/>
      <c r="I165" s="76"/>
      <c r="J165" s="76"/>
      <c r="K165" s="76">
        <v>673.63928571428573</v>
      </c>
      <c r="L165" s="76"/>
      <c r="M165" s="76"/>
      <c r="N165" s="76">
        <f t="shared" si="51"/>
        <v>673.63928571428573</v>
      </c>
      <c r="O165" s="77">
        <f t="shared" si="52"/>
        <v>3.4114810089055037E-2</v>
      </c>
    </row>
    <row r="166" spans="1:15" x14ac:dyDescent="0.25">
      <c r="A166" s="75" t="s">
        <v>52</v>
      </c>
      <c r="B166" s="76"/>
      <c r="C166" s="76"/>
      <c r="D166" s="76"/>
      <c r="E166" s="76"/>
      <c r="F166" s="76"/>
      <c r="G166" s="76"/>
      <c r="H166" s="76"/>
      <c r="I166" s="76"/>
      <c r="J166" s="76"/>
      <c r="K166" s="76">
        <v>536.8964285714286</v>
      </c>
      <c r="L166" s="76"/>
      <c r="M166" s="76"/>
      <c r="N166" s="76">
        <f t="shared" si="51"/>
        <v>536.8964285714286</v>
      </c>
      <c r="O166" s="77">
        <f t="shared" si="52"/>
        <v>2.7189803336343275E-2</v>
      </c>
    </row>
    <row r="167" spans="1:15" x14ac:dyDescent="0.25">
      <c r="A167" s="72" t="s">
        <v>67</v>
      </c>
      <c r="B167" s="73">
        <f>SUM(B168:B175)</f>
        <v>0</v>
      </c>
      <c r="C167" s="73">
        <f t="shared" ref="C167:N167" si="53">SUM(C168:C175)</f>
        <v>0</v>
      </c>
      <c r="D167" s="73">
        <f t="shared" si="53"/>
        <v>0</v>
      </c>
      <c r="E167" s="73">
        <f t="shared" si="53"/>
        <v>0</v>
      </c>
      <c r="F167" s="73">
        <f t="shared" si="53"/>
        <v>0</v>
      </c>
      <c r="G167" s="73">
        <f t="shared" si="53"/>
        <v>0</v>
      </c>
      <c r="H167" s="73">
        <f t="shared" si="53"/>
        <v>0</v>
      </c>
      <c r="I167" s="73">
        <f t="shared" si="53"/>
        <v>0</v>
      </c>
      <c r="J167" s="73">
        <f t="shared" si="53"/>
        <v>0</v>
      </c>
      <c r="K167" s="73">
        <f t="shared" si="53"/>
        <v>2000</v>
      </c>
      <c r="L167" s="73">
        <f t="shared" si="53"/>
        <v>2000</v>
      </c>
      <c r="M167" s="73">
        <f t="shared" si="53"/>
        <v>2000</v>
      </c>
      <c r="N167" s="73">
        <f t="shared" si="53"/>
        <v>6000</v>
      </c>
      <c r="O167" s="74">
        <f>N167/$N$2*100</f>
        <v>0.30385529002705164</v>
      </c>
    </row>
    <row r="168" spans="1:15" x14ac:dyDescent="0.25">
      <c r="A168" s="75" t="s">
        <v>45</v>
      </c>
      <c r="B168" s="76"/>
      <c r="C168" s="76"/>
      <c r="D168" s="76"/>
      <c r="E168" s="76"/>
      <c r="F168" s="76"/>
      <c r="G168" s="76"/>
      <c r="H168" s="76"/>
      <c r="I168" s="76"/>
      <c r="J168" s="76"/>
      <c r="K168" s="76">
        <v>400</v>
      </c>
      <c r="L168" s="76">
        <v>400</v>
      </c>
      <c r="M168" s="76">
        <v>400</v>
      </c>
      <c r="N168" s="76">
        <f t="shared" ref="N168:N175" si="54">SUM(B168:M168)</f>
        <v>1200</v>
      </c>
      <c r="O168" s="77">
        <f t="shared" ref="O168:O175" si="55">N168/$N$2*100</f>
        <v>6.0771058005410328E-2</v>
      </c>
    </row>
    <row r="169" spans="1:15" x14ac:dyDescent="0.25">
      <c r="A169" s="75" t="s">
        <v>46</v>
      </c>
      <c r="B169" s="76"/>
      <c r="C169" s="76"/>
      <c r="D169" s="76"/>
      <c r="E169" s="76"/>
      <c r="F169" s="76"/>
      <c r="G169" s="76"/>
      <c r="H169" s="76"/>
      <c r="I169" s="76"/>
      <c r="J169" s="76"/>
      <c r="K169" s="76">
        <v>400</v>
      </c>
      <c r="L169" s="76">
        <v>400</v>
      </c>
      <c r="M169" s="76">
        <v>400</v>
      </c>
      <c r="N169" s="76">
        <f t="shared" si="54"/>
        <v>1200</v>
      </c>
      <c r="O169" s="77">
        <f t="shared" si="55"/>
        <v>6.0771058005410328E-2</v>
      </c>
    </row>
    <row r="170" spans="1:15" x14ac:dyDescent="0.25">
      <c r="A170" s="75" t="s">
        <v>47</v>
      </c>
      <c r="B170" s="76"/>
      <c r="C170" s="76"/>
      <c r="D170" s="76"/>
      <c r="E170" s="76"/>
      <c r="F170" s="76"/>
      <c r="G170" s="76"/>
      <c r="H170" s="76"/>
      <c r="I170" s="76"/>
      <c r="J170" s="76"/>
      <c r="K170" s="76">
        <v>200</v>
      </c>
      <c r="L170" s="76">
        <v>200</v>
      </c>
      <c r="M170" s="76">
        <v>200</v>
      </c>
      <c r="N170" s="76">
        <f t="shared" si="54"/>
        <v>600</v>
      </c>
      <c r="O170" s="77">
        <f t="shared" si="55"/>
        <v>3.0385529002705164E-2</v>
      </c>
    </row>
    <row r="171" spans="1:15" x14ac:dyDescent="0.25">
      <c r="A171" s="75" t="s">
        <v>48</v>
      </c>
      <c r="B171" s="76"/>
      <c r="C171" s="76"/>
      <c r="D171" s="76"/>
      <c r="E171" s="76"/>
      <c r="F171" s="76"/>
      <c r="G171" s="76"/>
      <c r="H171" s="76"/>
      <c r="I171" s="76"/>
      <c r="J171" s="76"/>
      <c r="K171" s="76">
        <v>200</v>
      </c>
      <c r="L171" s="76">
        <v>200</v>
      </c>
      <c r="M171" s="76">
        <v>200</v>
      </c>
      <c r="N171" s="76">
        <f t="shared" si="54"/>
        <v>600</v>
      </c>
      <c r="O171" s="77">
        <f t="shared" si="55"/>
        <v>3.0385529002705164E-2</v>
      </c>
    </row>
    <row r="172" spans="1:15" x14ac:dyDescent="0.25">
      <c r="A172" s="75" t="s">
        <v>49</v>
      </c>
      <c r="B172" s="76"/>
      <c r="C172" s="76"/>
      <c r="D172" s="76"/>
      <c r="E172" s="76"/>
      <c r="F172" s="76"/>
      <c r="G172" s="76"/>
      <c r="H172" s="76"/>
      <c r="I172" s="76"/>
      <c r="J172" s="76"/>
      <c r="K172" s="76">
        <v>200</v>
      </c>
      <c r="L172" s="76">
        <v>200</v>
      </c>
      <c r="M172" s="76">
        <v>200</v>
      </c>
      <c r="N172" s="76">
        <f t="shared" si="54"/>
        <v>600</v>
      </c>
      <c r="O172" s="77">
        <f t="shared" si="55"/>
        <v>3.0385529002705164E-2</v>
      </c>
    </row>
    <row r="173" spans="1:15" x14ac:dyDescent="0.25">
      <c r="A173" s="75" t="s">
        <v>50</v>
      </c>
      <c r="B173" s="76"/>
      <c r="C173" s="76"/>
      <c r="D173" s="76"/>
      <c r="E173" s="76"/>
      <c r="F173" s="76"/>
      <c r="G173" s="76"/>
      <c r="H173" s="76"/>
      <c r="I173" s="76"/>
      <c r="J173" s="76"/>
      <c r="K173" s="76">
        <v>200</v>
      </c>
      <c r="L173" s="76">
        <v>200</v>
      </c>
      <c r="M173" s="76">
        <v>200</v>
      </c>
      <c r="N173" s="76">
        <f t="shared" si="54"/>
        <v>600</v>
      </c>
      <c r="O173" s="77">
        <f t="shared" si="55"/>
        <v>3.0385529002705164E-2</v>
      </c>
    </row>
    <row r="174" spans="1:15" x14ac:dyDescent="0.25">
      <c r="A174" s="75" t="s">
        <v>51</v>
      </c>
      <c r="B174" s="76"/>
      <c r="C174" s="76"/>
      <c r="D174" s="76"/>
      <c r="E174" s="76"/>
      <c r="F174" s="76"/>
      <c r="G174" s="76"/>
      <c r="H174" s="76"/>
      <c r="I174" s="76"/>
      <c r="J174" s="76"/>
      <c r="K174" s="76">
        <v>200</v>
      </c>
      <c r="L174" s="76">
        <v>200</v>
      </c>
      <c r="M174" s="76">
        <v>200</v>
      </c>
      <c r="N174" s="76">
        <f t="shared" si="54"/>
        <v>600</v>
      </c>
      <c r="O174" s="77">
        <f t="shared" si="55"/>
        <v>3.0385529002705164E-2</v>
      </c>
    </row>
    <row r="175" spans="1:15" x14ac:dyDescent="0.25">
      <c r="A175" s="75" t="s">
        <v>52</v>
      </c>
      <c r="B175" s="76"/>
      <c r="C175" s="76"/>
      <c r="D175" s="76"/>
      <c r="E175" s="76"/>
      <c r="F175" s="76"/>
      <c r="G175" s="76"/>
      <c r="H175" s="76"/>
      <c r="I175" s="76"/>
      <c r="J175" s="76"/>
      <c r="K175" s="76">
        <v>200</v>
      </c>
      <c r="L175" s="76">
        <v>200</v>
      </c>
      <c r="M175" s="76">
        <v>200</v>
      </c>
      <c r="N175" s="76">
        <f t="shared" si="54"/>
        <v>600</v>
      </c>
      <c r="O175" s="77">
        <f t="shared" si="55"/>
        <v>3.0385529002705164E-2</v>
      </c>
    </row>
    <row r="176" spans="1:15" x14ac:dyDescent="0.25">
      <c r="A176" s="72" t="s">
        <v>68</v>
      </c>
      <c r="B176" s="73">
        <f>SUM(B177:B184)</f>
        <v>0</v>
      </c>
      <c r="C176" s="73">
        <f t="shared" ref="C176:N176" si="56">SUM(C177:C184)</f>
        <v>0</v>
      </c>
      <c r="D176" s="73">
        <f t="shared" si="56"/>
        <v>0</v>
      </c>
      <c r="E176" s="73">
        <f t="shared" si="56"/>
        <v>0</v>
      </c>
      <c r="F176" s="73">
        <f t="shared" si="56"/>
        <v>0</v>
      </c>
      <c r="G176" s="73">
        <f t="shared" si="56"/>
        <v>0</v>
      </c>
      <c r="H176" s="73">
        <f t="shared" si="56"/>
        <v>0</v>
      </c>
      <c r="I176" s="73">
        <f t="shared" si="56"/>
        <v>0</v>
      </c>
      <c r="J176" s="73">
        <f t="shared" si="56"/>
        <v>0</v>
      </c>
      <c r="K176" s="73">
        <f t="shared" si="56"/>
        <v>8536</v>
      </c>
      <c r="L176" s="73">
        <f t="shared" si="56"/>
        <v>0</v>
      </c>
      <c r="M176" s="73">
        <f t="shared" si="56"/>
        <v>0</v>
      </c>
      <c r="N176" s="73">
        <f t="shared" si="56"/>
        <v>8536</v>
      </c>
      <c r="O176" s="74">
        <f>N176/$N$2*100</f>
        <v>0.43228479261181879</v>
      </c>
    </row>
    <row r="177" spans="1:15" x14ac:dyDescent="0.25">
      <c r="A177" s="75" t="s">
        <v>45</v>
      </c>
      <c r="B177" s="76"/>
      <c r="C177" s="76"/>
      <c r="D177" s="76"/>
      <c r="E177" s="76"/>
      <c r="F177" s="76"/>
      <c r="G177" s="76"/>
      <c r="H177" s="76"/>
      <c r="I177" s="76"/>
      <c r="J177" s="76"/>
      <c r="K177" s="76">
        <v>2000</v>
      </c>
      <c r="L177" s="76"/>
      <c r="M177" s="76"/>
      <c r="N177" s="76">
        <f t="shared" ref="N177:N184" si="57">SUM(B177:M177)</f>
        <v>2000</v>
      </c>
      <c r="O177" s="77">
        <f t="shared" ref="O177:O184" si="58">N177/$N$2*100</f>
        <v>0.10128509667568389</v>
      </c>
    </row>
    <row r="178" spans="1:15" x14ac:dyDescent="0.25">
      <c r="A178" s="75" t="s">
        <v>46</v>
      </c>
      <c r="B178" s="76"/>
      <c r="C178" s="76"/>
      <c r="D178" s="76"/>
      <c r="E178" s="76"/>
      <c r="F178" s="76"/>
      <c r="G178" s="76"/>
      <c r="H178" s="76"/>
      <c r="I178" s="76"/>
      <c r="J178" s="76"/>
      <c r="K178" s="76">
        <v>1728</v>
      </c>
      <c r="L178" s="76"/>
      <c r="M178" s="76"/>
      <c r="N178" s="76">
        <f t="shared" si="57"/>
        <v>1728</v>
      </c>
      <c r="O178" s="77">
        <f t="shared" si="58"/>
        <v>8.7510323527790868E-2</v>
      </c>
    </row>
    <row r="179" spans="1:15" x14ac:dyDescent="0.25">
      <c r="A179" s="75" t="s">
        <v>47</v>
      </c>
      <c r="B179" s="76"/>
      <c r="C179" s="76"/>
      <c r="D179" s="76"/>
      <c r="E179" s="76"/>
      <c r="F179" s="76"/>
      <c r="G179" s="76"/>
      <c r="H179" s="76"/>
      <c r="I179" s="76"/>
      <c r="J179" s="76"/>
      <c r="K179" s="76">
        <v>584</v>
      </c>
      <c r="L179" s="76"/>
      <c r="M179" s="76"/>
      <c r="N179" s="76">
        <f t="shared" si="57"/>
        <v>584</v>
      </c>
      <c r="O179" s="77">
        <f t="shared" si="58"/>
        <v>2.9575248229299692E-2</v>
      </c>
    </row>
    <row r="180" spans="1:15" x14ac:dyDescent="0.25">
      <c r="A180" s="75" t="s">
        <v>48</v>
      </c>
      <c r="B180" s="76"/>
      <c r="C180" s="76"/>
      <c r="D180" s="76"/>
      <c r="E180" s="76"/>
      <c r="F180" s="76"/>
      <c r="G180" s="76"/>
      <c r="H180" s="76"/>
      <c r="I180" s="76"/>
      <c r="J180" s="76"/>
      <c r="K180" s="76">
        <v>1248</v>
      </c>
      <c r="L180" s="76"/>
      <c r="M180" s="76"/>
      <c r="N180" s="76">
        <f t="shared" si="57"/>
        <v>1248</v>
      </c>
      <c r="O180" s="77">
        <f t="shared" si="58"/>
        <v>6.3201900325626739E-2</v>
      </c>
    </row>
    <row r="181" spans="1:15" x14ac:dyDescent="0.25">
      <c r="A181" s="75" t="s">
        <v>49</v>
      </c>
      <c r="B181" s="76"/>
      <c r="C181" s="76"/>
      <c r="D181" s="76"/>
      <c r="E181" s="76"/>
      <c r="F181" s="76"/>
      <c r="G181" s="76"/>
      <c r="H181" s="76"/>
      <c r="I181" s="76"/>
      <c r="J181" s="76"/>
      <c r="K181" s="76">
        <v>656</v>
      </c>
      <c r="L181" s="76"/>
      <c r="M181" s="76"/>
      <c r="N181" s="76">
        <f t="shared" si="57"/>
        <v>656</v>
      </c>
      <c r="O181" s="77">
        <f t="shared" si="58"/>
        <v>3.3221511709624313E-2</v>
      </c>
    </row>
    <row r="182" spans="1:15" x14ac:dyDescent="0.25">
      <c r="A182" s="75" t="s">
        <v>50</v>
      </c>
      <c r="B182" s="76"/>
      <c r="C182" s="76"/>
      <c r="D182" s="76"/>
      <c r="E182" s="76"/>
      <c r="F182" s="76"/>
      <c r="G182" s="76"/>
      <c r="H182" s="76"/>
      <c r="I182" s="76"/>
      <c r="J182" s="76"/>
      <c r="K182" s="76">
        <v>656</v>
      </c>
      <c r="L182" s="76"/>
      <c r="M182" s="76"/>
      <c r="N182" s="76">
        <f t="shared" si="57"/>
        <v>656</v>
      </c>
      <c r="O182" s="77">
        <f t="shared" si="58"/>
        <v>3.3221511709624313E-2</v>
      </c>
    </row>
    <row r="183" spans="1:15" x14ac:dyDescent="0.25">
      <c r="A183" s="75" t="s">
        <v>51</v>
      </c>
      <c r="B183" s="76"/>
      <c r="C183" s="76"/>
      <c r="D183" s="76"/>
      <c r="E183" s="76"/>
      <c r="F183" s="76"/>
      <c r="G183" s="76"/>
      <c r="H183" s="76"/>
      <c r="I183" s="76"/>
      <c r="J183" s="76"/>
      <c r="K183" s="76">
        <v>1064</v>
      </c>
      <c r="L183" s="76"/>
      <c r="M183" s="76"/>
      <c r="N183" s="76">
        <f t="shared" si="57"/>
        <v>1064</v>
      </c>
      <c r="O183" s="77">
        <f t="shared" si="58"/>
        <v>5.3883671431463824E-2</v>
      </c>
    </row>
    <row r="184" spans="1:15" x14ac:dyDescent="0.25">
      <c r="A184" s="75" t="s">
        <v>52</v>
      </c>
      <c r="B184" s="76"/>
      <c r="C184" s="76"/>
      <c r="D184" s="76"/>
      <c r="E184" s="76"/>
      <c r="F184" s="76"/>
      <c r="G184" s="76"/>
      <c r="H184" s="76"/>
      <c r="I184" s="76"/>
      <c r="J184" s="76"/>
      <c r="K184" s="76">
        <v>600</v>
      </c>
      <c r="L184" s="76"/>
      <c r="M184" s="76"/>
      <c r="N184" s="76">
        <f t="shared" si="57"/>
        <v>600</v>
      </c>
      <c r="O184" s="77">
        <f t="shared" si="58"/>
        <v>3.0385529002705164E-2</v>
      </c>
    </row>
    <row r="185" spans="1:15" x14ac:dyDescent="0.25">
      <c r="A185" s="78" t="s">
        <v>69</v>
      </c>
      <c r="B185" s="79">
        <f>SUM(B186:B193)</f>
        <v>0</v>
      </c>
      <c r="C185" s="79">
        <f t="shared" ref="C185:N185" si="59">SUM(C186:C193)</f>
        <v>0</v>
      </c>
      <c r="D185" s="79">
        <f t="shared" si="59"/>
        <v>0</v>
      </c>
      <c r="E185" s="79">
        <f t="shared" si="59"/>
        <v>0</v>
      </c>
      <c r="F185" s="79">
        <f t="shared" si="59"/>
        <v>0</v>
      </c>
      <c r="G185" s="79">
        <f t="shared" si="59"/>
        <v>0</v>
      </c>
      <c r="H185" s="79">
        <f t="shared" si="59"/>
        <v>0</v>
      </c>
      <c r="I185" s="79">
        <f t="shared" si="59"/>
        <v>0</v>
      </c>
      <c r="J185" s="79">
        <f t="shared" si="59"/>
        <v>0</v>
      </c>
      <c r="K185" s="79">
        <f t="shared" si="59"/>
        <v>0</v>
      </c>
      <c r="L185" s="79">
        <f t="shared" si="59"/>
        <v>0</v>
      </c>
      <c r="M185" s="79">
        <f t="shared" si="59"/>
        <v>0</v>
      </c>
      <c r="N185" s="79">
        <f t="shared" si="59"/>
        <v>0</v>
      </c>
      <c r="O185" s="80">
        <f>N185/$N$2*100</f>
        <v>0</v>
      </c>
    </row>
    <row r="186" spans="1:15" x14ac:dyDescent="0.25">
      <c r="A186" s="81" t="s">
        <v>45</v>
      </c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>
        <f t="shared" ref="N186:N193" si="60">SUM(B186:M186)</f>
        <v>0</v>
      </c>
      <c r="O186" s="83">
        <f t="shared" ref="O186:O193" si="61">N186/$N$2*100</f>
        <v>0</v>
      </c>
    </row>
    <row r="187" spans="1:15" x14ac:dyDescent="0.25">
      <c r="A187" s="81" t="s">
        <v>46</v>
      </c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>
        <f t="shared" si="60"/>
        <v>0</v>
      </c>
      <c r="O187" s="83">
        <f t="shared" si="61"/>
        <v>0</v>
      </c>
    </row>
    <row r="188" spans="1:15" x14ac:dyDescent="0.25">
      <c r="A188" s="81" t="s">
        <v>47</v>
      </c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>
        <f t="shared" si="60"/>
        <v>0</v>
      </c>
      <c r="O188" s="83">
        <f t="shared" si="61"/>
        <v>0</v>
      </c>
    </row>
    <row r="189" spans="1:15" x14ac:dyDescent="0.25">
      <c r="A189" s="81" t="s">
        <v>48</v>
      </c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>
        <f t="shared" si="60"/>
        <v>0</v>
      </c>
      <c r="O189" s="83">
        <f t="shared" si="61"/>
        <v>0</v>
      </c>
    </row>
    <row r="190" spans="1:15" x14ac:dyDescent="0.25">
      <c r="A190" s="81" t="s">
        <v>49</v>
      </c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>
        <f t="shared" si="60"/>
        <v>0</v>
      </c>
      <c r="O190" s="83">
        <f t="shared" si="61"/>
        <v>0</v>
      </c>
    </row>
    <row r="191" spans="1:15" x14ac:dyDescent="0.25">
      <c r="A191" s="81" t="s">
        <v>50</v>
      </c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>
        <f t="shared" si="60"/>
        <v>0</v>
      </c>
      <c r="O191" s="83">
        <f t="shared" si="61"/>
        <v>0</v>
      </c>
    </row>
    <row r="192" spans="1:15" x14ac:dyDescent="0.25">
      <c r="A192" s="81" t="s">
        <v>51</v>
      </c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>
        <f t="shared" si="60"/>
        <v>0</v>
      </c>
      <c r="O192" s="83">
        <f t="shared" si="61"/>
        <v>0</v>
      </c>
    </row>
    <row r="193" spans="1:15" x14ac:dyDescent="0.25">
      <c r="A193" s="81" t="s">
        <v>52</v>
      </c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>
        <f t="shared" si="60"/>
        <v>0</v>
      </c>
      <c r="O193" s="83">
        <f t="shared" si="61"/>
        <v>0</v>
      </c>
    </row>
    <row r="194" spans="1:15" ht="30" x14ac:dyDescent="0.25">
      <c r="A194" s="78" t="s">
        <v>70</v>
      </c>
      <c r="B194" s="79">
        <f>SUM(B195:B202)</f>
        <v>0</v>
      </c>
      <c r="C194" s="79">
        <f t="shared" ref="C194:N194" si="62">SUM(C195:C202)</f>
        <v>0</v>
      </c>
      <c r="D194" s="79">
        <f t="shared" si="62"/>
        <v>0</v>
      </c>
      <c r="E194" s="79">
        <f t="shared" si="62"/>
        <v>0</v>
      </c>
      <c r="F194" s="79">
        <f t="shared" si="62"/>
        <v>0</v>
      </c>
      <c r="G194" s="79">
        <f t="shared" si="62"/>
        <v>0</v>
      </c>
      <c r="H194" s="79">
        <f t="shared" si="62"/>
        <v>0</v>
      </c>
      <c r="I194" s="79">
        <f t="shared" si="62"/>
        <v>0</v>
      </c>
      <c r="J194" s="79">
        <f t="shared" si="62"/>
        <v>0</v>
      </c>
      <c r="K194" s="79">
        <f t="shared" si="62"/>
        <v>0</v>
      </c>
      <c r="L194" s="79">
        <f t="shared" si="62"/>
        <v>5687.5392857142851</v>
      </c>
      <c r="M194" s="79">
        <f t="shared" si="62"/>
        <v>0</v>
      </c>
      <c r="N194" s="79">
        <f t="shared" si="62"/>
        <v>5687.5392857142851</v>
      </c>
      <c r="O194" s="80">
        <f>N194/$N$2*100</f>
        <v>0.2880314832001607</v>
      </c>
    </row>
    <row r="195" spans="1:15" x14ac:dyDescent="0.25">
      <c r="A195" s="81" t="s">
        <v>45</v>
      </c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>
        <v>1086.492857142857</v>
      </c>
      <c r="M195" s="82"/>
      <c r="N195" s="82">
        <f t="shared" ref="N195:N202" si="63">SUM(B195:M195)</f>
        <v>1086.492857142857</v>
      </c>
      <c r="O195" s="83">
        <f t="shared" ref="O195:O202" si="64">N195/$N$2*100</f>
        <v>5.5022767036577137E-2</v>
      </c>
    </row>
    <row r="196" spans="1:15" x14ac:dyDescent="0.25">
      <c r="A196" s="81" t="s">
        <v>46</v>
      </c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>
        <v>851.48571428571427</v>
      </c>
      <c r="M196" s="82"/>
      <c r="N196" s="82">
        <f t="shared" si="63"/>
        <v>851.48571428571427</v>
      </c>
      <c r="O196" s="83">
        <f t="shared" si="64"/>
        <v>4.3121406444696156E-2</v>
      </c>
    </row>
    <row r="197" spans="1:15" x14ac:dyDescent="0.25">
      <c r="A197" s="81" t="s">
        <v>47</v>
      </c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>
        <v>716.99642857142862</v>
      </c>
      <c r="M197" s="82"/>
      <c r="N197" s="82">
        <f t="shared" si="63"/>
        <v>716.99642857142862</v>
      </c>
      <c r="O197" s="83">
        <f t="shared" si="64"/>
        <v>3.631052629198861E-2</v>
      </c>
    </row>
    <row r="198" spans="1:15" x14ac:dyDescent="0.25">
      <c r="A198" s="81" t="s">
        <v>48</v>
      </c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>
        <v>1192.5142857142857</v>
      </c>
      <c r="M198" s="82"/>
      <c r="N198" s="82">
        <f t="shared" si="63"/>
        <v>1192.5142857142857</v>
      </c>
      <c r="O198" s="83">
        <f t="shared" si="64"/>
        <v>6.0391962357852776E-2</v>
      </c>
    </row>
    <row r="199" spans="1:15" x14ac:dyDescent="0.25">
      <c r="A199" s="81" t="s">
        <v>49</v>
      </c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>
        <v>314.75714285714287</v>
      </c>
      <c r="M199" s="82"/>
      <c r="N199" s="82">
        <f t="shared" si="63"/>
        <v>314.75714285714287</v>
      </c>
      <c r="O199" s="83">
        <f t="shared" si="64"/>
        <v>1.5940103821823877E-2</v>
      </c>
    </row>
    <row r="200" spans="1:15" x14ac:dyDescent="0.25">
      <c r="A200" s="81" t="s">
        <v>50</v>
      </c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>
        <v>314.75714285714287</v>
      </c>
      <c r="M200" s="82"/>
      <c r="N200" s="82">
        <f t="shared" si="63"/>
        <v>314.75714285714287</v>
      </c>
      <c r="O200" s="83">
        <f t="shared" si="64"/>
        <v>1.5940103821823877E-2</v>
      </c>
    </row>
    <row r="201" spans="1:15" x14ac:dyDescent="0.25">
      <c r="A201" s="81" t="s">
        <v>51</v>
      </c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>
        <v>673.63928571428573</v>
      </c>
      <c r="M201" s="82"/>
      <c r="N201" s="82">
        <f t="shared" si="63"/>
        <v>673.63928571428573</v>
      </c>
      <c r="O201" s="83">
        <f t="shared" si="64"/>
        <v>3.4114810089055037E-2</v>
      </c>
    </row>
    <row r="202" spans="1:15" x14ac:dyDescent="0.25">
      <c r="A202" s="81" t="s">
        <v>52</v>
      </c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>
        <v>536.8964285714286</v>
      </c>
      <c r="M202" s="82"/>
      <c r="N202" s="82">
        <f t="shared" si="63"/>
        <v>536.8964285714286</v>
      </c>
      <c r="O202" s="83">
        <f t="shared" si="64"/>
        <v>2.7189803336343275E-2</v>
      </c>
    </row>
    <row r="203" spans="1:15" x14ac:dyDescent="0.25">
      <c r="A203" s="78" t="s">
        <v>71</v>
      </c>
      <c r="B203" s="79">
        <f>SUM(B204:B211)</f>
        <v>0</v>
      </c>
      <c r="C203" s="79">
        <f t="shared" ref="C203:N203" si="65">SUM(C204:C211)</f>
        <v>0</v>
      </c>
      <c r="D203" s="79">
        <f t="shared" si="65"/>
        <v>0</v>
      </c>
      <c r="E203" s="79">
        <f t="shared" si="65"/>
        <v>0</v>
      </c>
      <c r="F203" s="79">
        <f t="shared" si="65"/>
        <v>0</v>
      </c>
      <c r="G203" s="79">
        <f t="shared" si="65"/>
        <v>0</v>
      </c>
      <c r="H203" s="79">
        <f t="shared" si="65"/>
        <v>0</v>
      </c>
      <c r="I203" s="79">
        <f t="shared" si="65"/>
        <v>0</v>
      </c>
      <c r="J203" s="79">
        <f t="shared" si="65"/>
        <v>0</v>
      </c>
      <c r="K203" s="79">
        <f t="shared" si="65"/>
        <v>2000</v>
      </c>
      <c r="L203" s="79">
        <f t="shared" si="65"/>
        <v>2000</v>
      </c>
      <c r="M203" s="79">
        <f t="shared" si="65"/>
        <v>2000</v>
      </c>
      <c r="N203" s="79">
        <f t="shared" si="65"/>
        <v>6000</v>
      </c>
      <c r="O203" s="80">
        <f>N203/$N$2*100</f>
        <v>0.30385529002705164</v>
      </c>
    </row>
    <row r="204" spans="1:15" x14ac:dyDescent="0.25">
      <c r="A204" s="81" t="s">
        <v>45</v>
      </c>
      <c r="B204" s="82"/>
      <c r="C204" s="82"/>
      <c r="D204" s="82"/>
      <c r="E204" s="82"/>
      <c r="F204" s="82"/>
      <c r="G204" s="82"/>
      <c r="H204" s="82"/>
      <c r="I204" s="82"/>
      <c r="J204" s="82"/>
      <c r="K204" s="82">
        <v>400</v>
      </c>
      <c r="L204" s="82">
        <v>400</v>
      </c>
      <c r="M204" s="82">
        <v>400</v>
      </c>
      <c r="N204" s="82">
        <f t="shared" ref="N204:N211" si="66">SUM(B204:M204)</f>
        <v>1200</v>
      </c>
      <c r="O204" s="83">
        <f t="shared" ref="O204:O211" si="67">N204/$N$2*100</f>
        <v>6.0771058005410328E-2</v>
      </c>
    </row>
    <row r="205" spans="1:15" x14ac:dyDescent="0.25">
      <c r="A205" s="81" t="s">
        <v>46</v>
      </c>
      <c r="B205" s="82"/>
      <c r="C205" s="82"/>
      <c r="D205" s="82"/>
      <c r="E205" s="82"/>
      <c r="F205" s="82"/>
      <c r="G205" s="82"/>
      <c r="H205" s="82"/>
      <c r="I205" s="82"/>
      <c r="J205" s="82"/>
      <c r="K205" s="82">
        <v>400</v>
      </c>
      <c r="L205" s="82">
        <v>400</v>
      </c>
      <c r="M205" s="82">
        <v>400</v>
      </c>
      <c r="N205" s="82">
        <f t="shared" si="66"/>
        <v>1200</v>
      </c>
      <c r="O205" s="83">
        <f t="shared" si="67"/>
        <v>6.0771058005410328E-2</v>
      </c>
    </row>
    <row r="206" spans="1:15" x14ac:dyDescent="0.25">
      <c r="A206" s="81" t="s">
        <v>47</v>
      </c>
      <c r="B206" s="82"/>
      <c r="C206" s="82"/>
      <c r="D206" s="82"/>
      <c r="E206" s="82"/>
      <c r="F206" s="82"/>
      <c r="G206" s="82"/>
      <c r="H206" s="82"/>
      <c r="I206" s="82"/>
      <c r="J206" s="82"/>
      <c r="K206" s="82">
        <v>200</v>
      </c>
      <c r="L206" s="82">
        <v>200</v>
      </c>
      <c r="M206" s="82">
        <v>200</v>
      </c>
      <c r="N206" s="82">
        <f t="shared" si="66"/>
        <v>600</v>
      </c>
      <c r="O206" s="83">
        <f t="shared" si="67"/>
        <v>3.0385529002705164E-2</v>
      </c>
    </row>
    <row r="207" spans="1:15" x14ac:dyDescent="0.25">
      <c r="A207" s="81" t="s">
        <v>48</v>
      </c>
      <c r="B207" s="82"/>
      <c r="C207" s="82"/>
      <c r="D207" s="82"/>
      <c r="E207" s="82"/>
      <c r="F207" s="82"/>
      <c r="G207" s="82"/>
      <c r="H207" s="82"/>
      <c r="I207" s="82"/>
      <c r="J207" s="82"/>
      <c r="K207" s="82">
        <v>200</v>
      </c>
      <c r="L207" s="82">
        <v>200</v>
      </c>
      <c r="M207" s="82">
        <v>200</v>
      </c>
      <c r="N207" s="82">
        <f t="shared" si="66"/>
        <v>600</v>
      </c>
      <c r="O207" s="83">
        <f t="shared" si="67"/>
        <v>3.0385529002705164E-2</v>
      </c>
    </row>
    <row r="208" spans="1:15" x14ac:dyDescent="0.25">
      <c r="A208" s="81" t="s">
        <v>49</v>
      </c>
      <c r="B208" s="82"/>
      <c r="C208" s="82"/>
      <c r="D208" s="82"/>
      <c r="E208" s="82"/>
      <c r="F208" s="82"/>
      <c r="G208" s="82"/>
      <c r="H208" s="82"/>
      <c r="I208" s="82"/>
      <c r="J208" s="82"/>
      <c r="K208" s="82">
        <v>200</v>
      </c>
      <c r="L208" s="82">
        <v>200</v>
      </c>
      <c r="M208" s="82">
        <v>200</v>
      </c>
      <c r="N208" s="82">
        <f t="shared" si="66"/>
        <v>600</v>
      </c>
      <c r="O208" s="83">
        <f t="shared" si="67"/>
        <v>3.0385529002705164E-2</v>
      </c>
    </row>
    <row r="209" spans="1:15" x14ac:dyDescent="0.25">
      <c r="A209" s="81" t="s">
        <v>50</v>
      </c>
      <c r="B209" s="82"/>
      <c r="C209" s="82"/>
      <c r="D209" s="82"/>
      <c r="E209" s="82"/>
      <c r="F209" s="82"/>
      <c r="G209" s="82"/>
      <c r="H209" s="82"/>
      <c r="I209" s="82"/>
      <c r="J209" s="82"/>
      <c r="K209" s="82">
        <v>200</v>
      </c>
      <c r="L209" s="82">
        <v>200</v>
      </c>
      <c r="M209" s="82">
        <v>200</v>
      </c>
      <c r="N209" s="82">
        <f t="shared" si="66"/>
        <v>600</v>
      </c>
      <c r="O209" s="83">
        <f t="shared" si="67"/>
        <v>3.0385529002705164E-2</v>
      </c>
    </row>
    <row r="210" spans="1:15" x14ac:dyDescent="0.25">
      <c r="A210" s="81" t="s">
        <v>51</v>
      </c>
      <c r="B210" s="82"/>
      <c r="C210" s="82"/>
      <c r="D210" s="82"/>
      <c r="E210" s="82"/>
      <c r="F210" s="82"/>
      <c r="G210" s="82"/>
      <c r="H210" s="82"/>
      <c r="I210" s="82"/>
      <c r="J210" s="82"/>
      <c r="K210" s="82">
        <v>200</v>
      </c>
      <c r="L210" s="82">
        <v>200</v>
      </c>
      <c r="M210" s="82">
        <v>200</v>
      </c>
      <c r="N210" s="82">
        <f t="shared" si="66"/>
        <v>600</v>
      </c>
      <c r="O210" s="83">
        <f t="shared" si="67"/>
        <v>3.0385529002705164E-2</v>
      </c>
    </row>
    <row r="211" spans="1:15" x14ac:dyDescent="0.25">
      <c r="A211" s="81" t="s">
        <v>52</v>
      </c>
      <c r="B211" s="82"/>
      <c r="C211" s="82"/>
      <c r="D211" s="82"/>
      <c r="E211" s="82"/>
      <c r="F211" s="82"/>
      <c r="G211" s="82"/>
      <c r="H211" s="82"/>
      <c r="I211" s="82"/>
      <c r="J211" s="82"/>
      <c r="K211" s="82">
        <v>200</v>
      </c>
      <c r="L211" s="82">
        <v>200</v>
      </c>
      <c r="M211" s="82">
        <v>200</v>
      </c>
      <c r="N211" s="82">
        <f t="shared" si="66"/>
        <v>600</v>
      </c>
      <c r="O211" s="83">
        <f t="shared" si="67"/>
        <v>3.0385529002705164E-2</v>
      </c>
    </row>
    <row r="212" spans="1:15" x14ac:dyDescent="0.25">
      <c r="A212" s="78" t="s">
        <v>72</v>
      </c>
      <c r="B212" s="79">
        <f>SUM(B213:B220)</f>
        <v>0</v>
      </c>
      <c r="C212" s="79">
        <f t="shared" ref="C212:N212" si="68">SUM(C213:C220)</f>
        <v>0</v>
      </c>
      <c r="D212" s="79">
        <f t="shared" si="68"/>
        <v>0</v>
      </c>
      <c r="E212" s="79">
        <f t="shared" si="68"/>
        <v>0</v>
      </c>
      <c r="F212" s="79">
        <f t="shared" si="68"/>
        <v>0</v>
      </c>
      <c r="G212" s="79">
        <f t="shared" si="68"/>
        <v>0</v>
      </c>
      <c r="H212" s="79">
        <f t="shared" si="68"/>
        <v>0</v>
      </c>
      <c r="I212" s="79">
        <f t="shared" si="68"/>
        <v>0</v>
      </c>
      <c r="J212" s="79">
        <f t="shared" si="68"/>
        <v>0</v>
      </c>
      <c r="K212" s="79">
        <f t="shared" si="68"/>
        <v>0</v>
      </c>
      <c r="L212" s="79">
        <f t="shared" si="68"/>
        <v>8536</v>
      </c>
      <c r="M212" s="79">
        <f t="shared" si="68"/>
        <v>0</v>
      </c>
      <c r="N212" s="79">
        <f t="shared" si="68"/>
        <v>8536</v>
      </c>
      <c r="O212" s="80">
        <f>N212/$N$2*100</f>
        <v>0.43228479261181879</v>
      </c>
    </row>
    <row r="213" spans="1:15" x14ac:dyDescent="0.25">
      <c r="A213" s="81" t="s">
        <v>45</v>
      </c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>
        <v>2000</v>
      </c>
      <c r="M213" s="82"/>
      <c r="N213" s="82">
        <f>SUM(B213:M213)</f>
        <v>2000</v>
      </c>
      <c r="O213" s="83">
        <f t="shared" ref="O213:O220" si="69">N213/$N$2*100</f>
        <v>0.10128509667568389</v>
      </c>
    </row>
    <row r="214" spans="1:15" x14ac:dyDescent="0.25">
      <c r="A214" s="81" t="s">
        <v>46</v>
      </c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>
        <v>1728</v>
      </c>
      <c r="M214" s="82"/>
      <c r="N214" s="82">
        <f t="shared" ref="N214:N220" si="70">SUM(B214:M214)</f>
        <v>1728</v>
      </c>
      <c r="O214" s="83">
        <f t="shared" si="69"/>
        <v>8.7510323527790868E-2</v>
      </c>
    </row>
    <row r="215" spans="1:15" x14ac:dyDescent="0.25">
      <c r="A215" s="81" t="s">
        <v>47</v>
      </c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>
        <v>584</v>
      </c>
      <c r="M215" s="82"/>
      <c r="N215" s="82">
        <f t="shared" si="70"/>
        <v>584</v>
      </c>
      <c r="O215" s="83">
        <f t="shared" si="69"/>
        <v>2.9575248229299692E-2</v>
      </c>
    </row>
    <row r="216" spans="1:15" x14ac:dyDescent="0.25">
      <c r="A216" s="81" t="s">
        <v>48</v>
      </c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>
        <v>1248</v>
      </c>
      <c r="M216" s="82"/>
      <c r="N216" s="82">
        <f t="shared" si="70"/>
        <v>1248</v>
      </c>
      <c r="O216" s="83">
        <f t="shared" si="69"/>
        <v>6.3201900325626739E-2</v>
      </c>
    </row>
    <row r="217" spans="1:15" x14ac:dyDescent="0.25">
      <c r="A217" s="81" t="s">
        <v>49</v>
      </c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>
        <v>656</v>
      </c>
      <c r="M217" s="82"/>
      <c r="N217" s="82">
        <f t="shared" si="70"/>
        <v>656</v>
      </c>
      <c r="O217" s="83">
        <f t="shared" si="69"/>
        <v>3.3221511709624313E-2</v>
      </c>
    </row>
    <row r="218" spans="1:15" x14ac:dyDescent="0.25">
      <c r="A218" s="81" t="s">
        <v>50</v>
      </c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>
        <v>656</v>
      </c>
      <c r="M218" s="82"/>
      <c r="N218" s="82">
        <f t="shared" si="70"/>
        <v>656</v>
      </c>
      <c r="O218" s="83">
        <f t="shared" si="69"/>
        <v>3.3221511709624313E-2</v>
      </c>
    </row>
    <row r="219" spans="1:15" x14ac:dyDescent="0.25">
      <c r="A219" s="81" t="s">
        <v>51</v>
      </c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>
        <v>1064</v>
      </c>
      <c r="M219" s="82"/>
      <c r="N219" s="82">
        <f t="shared" si="70"/>
        <v>1064</v>
      </c>
      <c r="O219" s="83">
        <f t="shared" si="69"/>
        <v>5.3883671431463824E-2</v>
      </c>
    </row>
    <row r="220" spans="1:15" x14ac:dyDescent="0.25">
      <c r="A220" s="81" t="s">
        <v>52</v>
      </c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>
        <v>600</v>
      </c>
      <c r="M220" s="82"/>
      <c r="N220" s="82">
        <f t="shared" si="70"/>
        <v>600</v>
      </c>
      <c r="O220" s="83">
        <f t="shared" si="69"/>
        <v>3.0385529002705164E-2</v>
      </c>
    </row>
    <row r="221" spans="1:15" ht="45" x14ac:dyDescent="0.25">
      <c r="A221" s="84" t="s">
        <v>73</v>
      </c>
      <c r="B221" s="85">
        <f>SUM(B222:B229)</f>
        <v>2000</v>
      </c>
      <c r="C221" s="85">
        <f t="shared" ref="C221:N221" si="71">SUM(C222:C229)</f>
        <v>0</v>
      </c>
      <c r="D221" s="85">
        <f t="shared" si="71"/>
        <v>0</v>
      </c>
      <c r="E221" s="85">
        <f t="shared" si="71"/>
        <v>0</v>
      </c>
      <c r="F221" s="85">
        <f t="shared" si="71"/>
        <v>2000</v>
      </c>
      <c r="G221" s="85">
        <f t="shared" si="71"/>
        <v>0</v>
      </c>
      <c r="H221" s="85">
        <f t="shared" si="71"/>
        <v>0</v>
      </c>
      <c r="I221" s="85">
        <f t="shared" si="71"/>
        <v>2000</v>
      </c>
      <c r="J221" s="85">
        <f t="shared" si="71"/>
        <v>0</v>
      </c>
      <c r="K221" s="85">
        <f t="shared" si="71"/>
        <v>0</v>
      </c>
      <c r="L221" s="85">
        <f t="shared" si="71"/>
        <v>2000</v>
      </c>
      <c r="M221" s="85">
        <f t="shared" si="71"/>
        <v>2000</v>
      </c>
      <c r="N221" s="85">
        <f t="shared" si="71"/>
        <v>10000</v>
      </c>
      <c r="O221" s="86">
        <f>N221/$N$2*100</f>
        <v>0.50642548337841942</v>
      </c>
    </row>
    <row r="222" spans="1:15" x14ac:dyDescent="0.25">
      <c r="A222" s="87" t="s">
        <v>45</v>
      </c>
      <c r="B222" s="88">
        <v>250</v>
      </c>
      <c r="C222" s="88"/>
      <c r="D222" s="88"/>
      <c r="E222" s="88"/>
      <c r="F222" s="88">
        <v>250</v>
      </c>
      <c r="G222" s="88"/>
      <c r="H222" s="88"/>
      <c r="I222" s="88">
        <v>250</v>
      </c>
      <c r="J222" s="88"/>
      <c r="K222" s="88"/>
      <c r="L222" s="88">
        <v>250</v>
      </c>
      <c r="M222" s="88">
        <v>250</v>
      </c>
      <c r="N222" s="88">
        <f>SUM(B222:M222)</f>
        <v>1250</v>
      </c>
      <c r="O222" s="89">
        <f t="shared" ref="O222:O229" si="72">N222/$N$2*100</f>
        <v>6.3303185422302427E-2</v>
      </c>
    </row>
    <row r="223" spans="1:15" x14ac:dyDescent="0.25">
      <c r="A223" s="87" t="s">
        <v>46</v>
      </c>
      <c r="B223" s="88">
        <v>250</v>
      </c>
      <c r="C223" s="88"/>
      <c r="D223" s="88"/>
      <c r="E223" s="88"/>
      <c r="F223" s="88">
        <v>250</v>
      </c>
      <c r="G223" s="88"/>
      <c r="H223" s="88"/>
      <c r="I223" s="88">
        <v>250</v>
      </c>
      <c r="J223" s="88"/>
      <c r="K223" s="88"/>
      <c r="L223" s="88">
        <v>250</v>
      </c>
      <c r="M223" s="88">
        <v>250</v>
      </c>
      <c r="N223" s="88">
        <f t="shared" ref="N223:N229" si="73">SUM(B223:M223)</f>
        <v>1250</v>
      </c>
      <c r="O223" s="89">
        <f t="shared" si="72"/>
        <v>6.3303185422302427E-2</v>
      </c>
    </row>
    <row r="224" spans="1:15" x14ac:dyDescent="0.25">
      <c r="A224" s="87" t="s">
        <v>47</v>
      </c>
      <c r="B224" s="88">
        <v>250</v>
      </c>
      <c r="C224" s="88"/>
      <c r="D224" s="88"/>
      <c r="E224" s="88"/>
      <c r="F224" s="88">
        <v>250</v>
      </c>
      <c r="G224" s="88"/>
      <c r="H224" s="88"/>
      <c r="I224" s="88">
        <v>250</v>
      </c>
      <c r="J224" s="88"/>
      <c r="K224" s="88"/>
      <c r="L224" s="88">
        <v>250</v>
      </c>
      <c r="M224" s="88">
        <v>250</v>
      </c>
      <c r="N224" s="88">
        <f t="shared" si="73"/>
        <v>1250</v>
      </c>
      <c r="O224" s="89">
        <f t="shared" si="72"/>
        <v>6.3303185422302427E-2</v>
      </c>
    </row>
    <row r="225" spans="1:15" x14ac:dyDescent="0.25">
      <c r="A225" s="87" t="s">
        <v>48</v>
      </c>
      <c r="B225" s="88">
        <v>250</v>
      </c>
      <c r="C225" s="88"/>
      <c r="D225" s="88"/>
      <c r="E225" s="88"/>
      <c r="F225" s="88">
        <v>250</v>
      </c>
      <c r="G225" s="88"/>
      <c r="H225" s="88"/>
      <c r="I225" s="88">
        <v>250</v>
      </c>
      <c r="J225" s="88"/>
      <c r="K225" s="88"/>
      <c r="L225" s="88">
        <v>250</v>
      </c>
      <c r="M225" s="88">
        <v>250</v>
      </c>
      <c r="N225" s="88">
        <f t="shared" si="73"/>
        <v>1250</v>
      </c>
      <c r="O225" s="89">
        <f t="shared" si="72"/>
        <v>6.3303185422302427E-2</v>
      </c>
    </row>
    <row r="226" spans="1:15" x14ac:dyDescent="0.25">
      <c r="A226" s="87" t="s">
        <v>49</v>
      </c>
      <c r="B226" s="88">
        <v>250</v>
      </c>
      <c r="C226" s="88"/>
      <c r="D226" s="88"/>
      <c r="E226" s="88"/>
      <c r="F226" s="88">
        <v>250</v>
      </c>
      <c r="G226" s="88"/>
      <c r="H226" s="88"/>
      <c r="I226" s="88">
        <v>250</v>
      </c>
      <c r="J226" s="88"/>
      <c r="K226" s="88"/>
      <c r="L226" s="88">
        <v>250</v>
      </c>
      <c r="M226" s="88">
        <v>250</v>
      </c>
      <c r="N226" s="88">
        <f t="shared" si="73"/>
        <v>1250</v>
      </c>
      <c r="O226" s="89">
        <f t="shared" si="72"/>
        <v>6.3303185422302427E-2</v>
      </c>
    </row>
    <row r="227" spans="1:15" x14ac:dyDescent="0.25">
      <c r="A227" s="87" t="s">
        <v>50</v>
      </c>
      <c r="B227" s="88">
        <v>250</v>
      </c>
      <c r="C227" s="88"/>
      <c r="D227" s="88"/>
      <c r="E227" s="88"/>
      <c r="F227" s="88">
        <v>250</v>
      </c>
      <c r="G227" s="88"/>
      <c r="H227" s="88"/>
      <c r="I227" s="88">
        <v>250</v>
      </c>
      <c r="J227" s="88"/>
      <c r="K227" s="88"/>
      <c r="L227" s="88">
        <v>250</v>
      </c>
      <c r="M227" s="88">
        <v>250</v>
      </c>
      <c r="N227" s="88">
        <f t="shared" si="73"/>
        <v>1250</v>
      </c>
      <c r="O227" s="89">
        <f t="shared" si="72"/>
        <v>6.3303185422302427E-2</v>
      </c>
    </row>
    <row r="228" spans="1:15" x14ac:dyDescent="0.25">
      <c r="A228" s="87" t="s">
        <v>51</v>
      </c>
      <c r="B228" s="88">
        <v>250</v>
      </c>
      <c r="C228" s="88"/>
      <c r="D228" s="88"/>
      <c r="E228" s="88"/>
      <c r="F228" s="88">
        <v>250</v>
      </c>
      <c r="G228" s="88"/>
      <c r="H228" s="88"/>
      <c r="I228" s="88">
        <v>250</v>
      </c>
      <c r="J228" s="88"/>
      <c r="K228" s="88"/>
      <c r="L228" s="88">
        <v>250</v>
      </c>
      <c r="M228" s="88">
        <v>250</v>
      </c>
      <c r="N228" s="88">
        <f>SUM(B228:M228)</f>
        <v>1250</v>
      </c>
      <c r="O228" s="89">
        <f t="shared" si="72"/>
        <v>6.3303185422302427E-2</v>
      </c>
    </row>
    <row r="229" spans="1:15" x14ac:dyDescent="0.25">
      <c r="A229" s="87" t="s">
        <v>52</v>
      </c>
      <c r="B229" s="88">
        <v>250</v>
      </c>
      <c r="C229" s="88"/>
      <c r="D229" s="88"/>
      <c r="E229" s="88"/>
      <c r="F229" s="88">
        <v>250</v>
      </c>
      <c r="G229" s="88"/>
      <c r="H229" s="88"/>
      <c r="I229" s="88">
        <v>250</v>
      </c>
      <c r="J229" s="88"/>
      <c r="K229" s="88"/>
      <c r="L229" s="88">
        <v>250</v>
      </c>
      <c r="M229" s="88">
        <v>250</v>
      </c>
      <c r="N229" s="88">
        <f t="shared" si="73"/>
        <v>1250</v>
      </c>
      <c r="O229" s="89">
        <f t="shared" si="72"/>
        <v>6.3303185422302427E-2</v>
      </c>
    </row>
    <row r="230" spans="1:15" x14ac:dyDescent="0.25">
      <c r="A230" s="10" t="s">
        <v>74</v>
      </c>
      <c r="B230" s="11">
        <f>SUM(B231:B237)</f>
        <v>0</v>
      </c>
      <c r="C230" s="11">
        <f t="shared" ref="C230:N230" si="74">SUM(C231:C237)</f>
        <v>0</v>
      </c>
      <c r="D230" s="11">
        <f t="shared" si="74"/>
        <v>0</v>
      </c>
      <c r="E230" s="11">
        <f t="shared" si="74"/>
        <v>0</v>
      </c>
      <c r="F230" s="11">
        <f t="shared" si="74"/>
        <v>0</v>
      </c>
      <c r="G230" s="11">
        <f t="shared" si="74"/>
        <v>6600</v>
      </c>
      <c r="H230" s="11">
        <f t="shared" si="74"/>
        <v>0</v>
      </c>
      <c r="I230" s="11">
        <f t="shared" si="74"/>
        <v>0</v>
      </c>
      <c r="J230" s="11">
        <f t="shared" si="74"/>
        <v>0</v>
      </c>
      <c r="K230" s="11">
        <f t="shared" si="74"/>
        <v>0</v>
      </c>
      <c r="L230" s="11">
        <f t="shared" si="74"/>
        <v>0</v>
      </c>
      <c r="M230" s="11">
        <f t="shared" si="74"/>
        <v>6600</v>
      </c>
      <c r="N230" s="11">
        <f t="shared" si="74"/>
        <v>13200</v>
      </c>
      <c r="O230" s="12">
        <f>N230/$N$2*100</f>
        <v>0.66848163805951355</v>
      </c>
    </row>
    <row r="231" spans="1:15" x14ac:dyDescent="0.25">
      <c r="A231" s="19" t="s">
        <v>75</v>
      </c>
      <c r="B231" s="20"/>
      <c r="C231" s="20"/>
      <c r="D231" s="20"/>
      <c r="E231" s="20"/>
      <c r="F231" s="20"/>
      <c r="G231" s="20">
        <v>2000</v>
      </c>
      <c r="H231" s="20"/>
      <c r="I231" s="20"/>
      <c r="J231" s="20"/>
      <c r="K231" s="20"/>
      <c r="L231" s="20"/>
      <c r="M231" s="20">
        <v>2000</v>
      </c>
      <c r="N231" s="20">
        <f>SUM(B231:M231)</f>
        <v>4000</v>
      </c>
      <c r="O231" s="21">
        <f t="shared" ref="O231:O237" si="75">N231/$N$2*100</f>
        <v>0.20257019335136778</v>
      </c>
    </row>
    <row r="232" spans="1:15" ht="30" x14ac:dyDescent="0.25">
      <c r="A232" s="19" t="s">
        <v>76</v>
      </c>
      <c r="B232" s="20"/>
      <c r="C232" s="20"/>
      <c r="D232" s="20"/>
      <c r="E232" s="20"/>
      <c r="F232" s="20"/>
      <c r="G232" s="20">
        <v>1500</v>
      </c>
      <c r="H232" s="20"/>
      <c r="I232" s="20"/>
      <c r="J232" s="20"/>
      <c r="K232" s="20"/>
      <c r="L232" s="20"/>
      <c r="M232" s="20">
        <v>1500</v>
      </c>
      <c r="N232" s="20">
        <f t="shared" ref="N232:N236" si="76">SUM(B232:M232)</f>
        <v>3000</v>
      </c>
      <c r="O232" s="21">
        <f t="shared" si="75"/>
        <v>0.15192764501352582</v>
      </c>
    </row>
    <row r="233" spans="1:15" x14ac:dyDescent="0.25">
      <c r="A233" s="19" t="s">
        <v>77</v>
      </c>
      <c r="B233" s="20"/>
      <c r="C233" s="20"/>
      <c r="D233" s="20"/>
      <c r="E233" s="20"/>
      <c r="F233" s="20"/>
      <c r="G233" s="20">
        <v>1000</v>
      </c>
      <c r="H233" s="20"/>
      <c r="I233" s="20"/>
      <c r="J233" s="20"/>
      <c r="K233" s="20"/>
      <c r="L233" s="20"/>
      <c r="M233" s="20">
        <v>1000</v>
      </c>
      <c r="N233" s="20">
        <f t="shared" si="76"/>
        <v>2000</v>
      </c>
      <c r="O233" s="21">
        <f t="shared" si="75"/>
        <v>0.10128509667568389</v>
      </c>
    </row>
    <row r="234" spans="1:15" x14ac:dyDescent="0.25">
      <c r="A234" s="19" t="s">
        <v>78</v>
      </c>
      <c r="B234" s="20"/>
      <c r="C234" s="20"/>
      <c r="D234" s="20"/>
      <c r="E234" s="20"/>
      <c r="F234" s="20"/>
      <c r="G234" s="20">
        <f>(90*5)+(90*5)</f>
        <v>900</v>
      </c>
      <c r="H234" s="20"/>
      <c r="I234" s="20"/>
      <c r="J234" s="20"/>
      <c r="K234" s="20"/>
      <c r="L234" s="20"/>
      <c r="M234" s="20">
        <f>(90*5)+(90*5)</f>
        <v>900</v>
      </c>
      <c r="N234" s="20">
        <f t="shared" si="76"/>
        <v>1800</v>
      </c>
      <c r="O234" s="21">
        <f t="shared" si="75"/>
        <v>9.1156587008115492E-2</v>
      </c>
    </row>
    <row r="235" spans="1:15" x14ac:dyDescent="0.25">
      <c r="A235" s="19" t="s">
        <v>79</v>
      </c>
      <c r="B235" s="20"/>
      <c r="C235" s="20"/>
      <c r="D235" s="20"/>
      <c r="E235" s="20"/>
      <c r="F235" s="20"/>
      <c r="G235" s="20">
        <v>400</v>
      </c>
      <c r="H235" s="20"/>
      <c r="I235" s="20"/>
      <c r="J235" s="20"/>
      <c r="K235" s="20"/>
      <c r="L235" s="20"/>
      <c r="M235" s="20">
        <v>400</v>
      </c>
      <c r="N235" s="20">
        <f t="shared" si="76"/>
        <v>800</v>
      </c>
      <c r="O235" s="21">
        <f t="shared" si="75"/>
        <v>4.0514038670273554E-2</v>
      </c>
    </row>
    <row r="236" spans="1:15" x14ac:dyDescent="0.25">
      <c r="A236" s="19" t="s">
        <v>80</v>
      </c>
      <c r="B236" s="20"/>
      <c r="C236" s="20"/>
      <c r="D236" s="20"/>
      <c r="E236" s="20"/>
      <c r="F236" s="20"/>
      <c r="G236" s="20">
        <v>800</v>
      </c>
      <c r="H236" s="20"/>
      <c r="I236" s="20"/>
      <c r="J236" s="20"/>
      <c r="K236" s="20"/>
      <c r="L236" s="20"/>
      <c r="M236" s="20">
        <v>800</v>
      </c>
      <c r="N236" s="20">
        <f t="shared" si="76"/>
        <v>1600</v>
      </c>
      <c r="O236" s="21">
        <f t="shared" si="75"/>
        <v>8.1028077340547108E-2</v>
      </c>
    </row>
    <row r="237" spans="1:15" ht="30" x14ac:dyDescent="0.25">
      <c r="A237" s="19" t="s">
        <v>81</v>
      </c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>
        <f>SUM(B237:M237)</f>
        <v>0</v>
      </c>
      <c r="O237" s="21">
        <f t="shared" si="75"/>
        <v>0</v>
      </c>
    </row>
    <row r="238" spans="1:15" x14ac:dyDescent="0.25">
      <c r="A238" s="10" t="s">
        <v>82</v>
      </c>
      <c r="B238" s="11">
        <f>SUM(B239:B243)</f>
        <v>0</v>
      </c>
      <c r="C238" s="11">
        <f t="shared" ref="C238:N238" si="77">SUM(C239:C243)</f>
        <v>3232.98</v>
      </c>
      <c r="D238" s="11">
        <f t="shared" si="77"/>
        <v>3232.98</v>
      </c>
      <c r="E238" s="11">
        <f t="shared" si="77"/>
        <v>0</v>
      </c>
      <c r="F238" s="11">
        <f t="shared" si="77"/>
        <v>0</v>
      </c>
      <c r="G238" s="11">
        <f t="shared" si="77"/>
        <v>0</v>
      </c>
      <c r="H238" s="11">
        <f t="shared" si="77"/>
        <v>0</v>
      </c>
      <c r="I238" s="11">
        <f t="shared" si="77"/>
        <v>0</v>
      </c>
      <c r="J238" s="11">
        <f t="shared" si="77"/>
        <v>0</v>
      </c>
      <c r="K238" s="11">
        <f t="shared" si="77"/>
        <v>0</v>
      </c>
      <c r="L238" s="11">
        <f t="shared" si="77"/>
        <v>0</v>
      </c>
      <c r="M238" s="11">
        <f t="shared" si="77"/>
        <v>0</v>
      </c>
      <c r="N238" s="11">
        <f t="shared" si="77"/>
        <v>6465.96</v>
      </c>
      <c r="O238" s="12">
        <f>N238/$N$2*100</f>
        <v>0.32745269185055248</v>
      </c>
    </row>
    <row r="239" spans="1:15" x14ac:dyDescent="0.25">
      <c r="A239" s="90" t="s">
        <v>83</v>
      </c>
      <c r="B239" s="91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>
        <f>SUM(B239:M239)</f>
        <v>0</v>
      </c>
      <c r="O239" s="15">
        <f t="shared" ref="O239:O243" si="78">N239/$N$2*100</f>
        <v>0</v>
      </c>
    </row>
    <row r="240" spans="1:15" ht="30" x14ac:dyDescent="0.25">
      <c r="A240" s="13" t="s">
        <v>84</v>
      </c>
      <c r="B240" s="92"/>
      <c r="C240" s="92">
        <f t="shared" ref="C240:D240" si="79">6465.96/2</f>
        <v>3232.98</v>
      </c>
      <c r="D240" s="92">
        <f t="shared" si="79"/>
        <v>3232.98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>
        <f t="shared" ref="N240:N243" si="80">SUM(B240:M240)</f>
        <v>6465.96</v>
      </c>
      <c r="O240" s="15">
        <f t="shared" si="78"/>
        <v>0.32745269185055248</v>
      </c>
    </row>
    <row r="241" spans="1:15" ht="30" x14ac:dyDescent="0.25">
      <c r="A241" s="13" t="s">
        <v>85</v>
      </c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>
        <f t="shared" si="80"/>
        <v>0</v>
      </c>
      <c r="O241" s="15">
        <f t="shared" si="78"/>
        <v>0</v>
      </c>
    </row>
    <row r="242" spans="1:15" ht="30" x14ac:dyDescent="0.25">
      <c r="A242" s="13" t="s">
        <v>86</v>
      </c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>
        <f t="shared" si="80"/>
        <v>0</v>
      </c>
      <c r="O242" s="15">
        <f t="shared" si="78"/>
        <v>0</v>
      </c>
    </row>
    <row r="243" spans="1:15" x14ac:dyDescent="0.25">
      <c r="A243" s="13" t="s">
        <v>87</v>
      </c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>
        <f t="shared" si="80"/>
        <v>0</v>
      </c>
      <c r="O243" s="15">
        <f t="shared" si="78"/>
        <v>0</v>
      </c>
    </row>
    <row r="244" spans="1:15" x14ac:dyDescent="0.25">
      <c r="A244" s="7" t="s">
        <v>88</v>
      </c>
      <c r="B244" s="8">
        <f>SUM(B245:B252)</f>
        <v>500</v>
      </c>
      <c r="C244" s="8">
        <f t="shared" ref="C244:N244" si="81">SUM(C245:C252)</f>
        <v>1718.1818181818182</v>
      </c>
      <c r="D244" s="8">
        <f t="shared" si="81"/>
        <v>1718.1818181818182</v>
      </c>
      <c r="E244" s="8">
        <f t="shared" si="81"/>
        <v>1718.1818181818182</v>
      </c>
      <c r="F244" s="8">
        <f t="shared" si="81"/>
        <v>1718.1818181818182</v>
      </c>
      <c r="G244" s="8">
        <f t="shared" si="81"/>
        <v>1718.1818181818182</v>
      </c>
      <c r="H244" s="8">
        <f t="shared" si="81"/>
        <v>1718.1818181818182</v>
      </c>
      <c r="I244" s="8">
        <f t="shared" si="81"/>
        <v>1718.1818181818182</v>
      </c>
      <c r="J244" s="8">
        <f t="shared" si="81"/>
        <v>1718.1818181818182</v>
      </c>
      <c r="K244" s="8">
        <f t="shared" si="81"/>
        <v>1718.1818181818182</v>
      </c>
      <c r="L244" s="8">
        <f t="shared" si="81"/>
        <v>1718.1818181818182</v>
      </c>
      <c r="M244" s="8">
        <f t="shared" si="81"/>
        <v>1718.1818181818182</v>
      </c>
      <c r="N244" s="8">
        <f t="shared" si="81"/>
        <v>19400</v>
      </c>
      <c r="O244" s="9">
        <f>N244/$N$2*100</f>
        <v>0.98246543775413375</v>
      </c>
    </row>
    <row r="245" spans="1:15" x14ac:dyDescent="0.25">
      <c r="A245" s="19" t="s">
        <v>89</v>
      </c>
      <c r="B245" s="20">
        <v>0</v>
      </c>
      <c r="C245" s="20">
        <v>0</v>
      </c>
      <c r="D245" s="20">
        <v>0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f>SUM(B245:M245)</f>
        <v>0</v>
      </c>
      <c r="O245" s="21">
        <f t="shared" ref="O245:O252" si="82">N245/$N$2*100</f>
        <v>0</v>
      </c>
    </row>
    <row r="246" spans="1:15" x14ac:dyDescent="0.25">
      <c r="A246" s="19" t="s">
        <v>90</v>
      </c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>
        <f t="shared" ref="N246:N252" si="83">SUM(B246:M246)</f>
        <v>0</v>
      </c>
      <c r="O246" s="21">
        <f t="shared" si="82"/>
        <v>0</v>
      </c>
    </row>
    <row r="247" spans="1:15" ht="45" x14ac:dyDescent="0.25">
      <c r="A247" s="19" t="s">
        <v>91</v>
      </c>
      <c r="B247" s="20">
        <v>0</v>
      </c>
      <c r="C247" s="20">
        <v>0</v>
      </c>
      <c r="D247" s="20">
        <v>0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</v>
      </c>
      <c r="N247" s="20">
        <f t="shared" si="83"/>
        <v>0</v>
      </c>
      <c r="O247" s="21">
        <f t="shared" si="82"/>
        <v>0</v>
      </c>
    </row>
    <row r="248" spans="1:15" ht="45" x14ac:dyDescent="0.25">
      <c r="A248" s="19" t="s">
        <v>92</v>
      </c>
      <c r="B248" s="20"/>
      <c r="C248" s="20">
        <f t="shared" ref="C248:M248" si="84">(200*12)/11</f>
        <v>218.18181818181819</v>
      </c>
      <c r="D248" s="20">
        <f t="shared" si="84"/>
        <v>218.18181818181819</v>
      </c>
      <c r="E248" s="20">
        <f t="shared" si="84"/>
        <v>218.18181818181819</v>
      </c>
      <c r="F248" s="20">
        <f t="shared" si="84"/>
        <v>218.18181818181819</v>
      </c>
      <c r="G248" s="20">
        <f t="shared" si="84"/>
        <v>218.18181818181819</v>
      </c>
      <c r="H248" s="20">
        <f t="shared" si="84"/>
        <v>218.18181818181819</v>
      </c>
      <c r="I248" s="20">
        <f t="shared" si="84"/>
        <v>218.18181818181819</v>
      </c>
      <c r="J248" s="20">
        <f t="shared" si="84"/>
        <v>218.18181818181819</v>
      </c>
      <c r="K248" s="20">
        <f t="shared" si="84"/>
        <v>218.18181818181819</v>
      </c>
      <c r="L248" s="20">
        <f t="shared" si="84"/>
        <v>218.18181818181819</v>
      </c>
      <c r="M248" s="20">
        <f t="shared" si="84"/>
        <v>218.18181818181819</v>
      </c>
      <c r="N248" s="20">
        <f t="shared" si="83"/>
        <v>2400</v>
      </c>
      <c r="O248" s="21">
        <f t="shared" si="82"/>
        <v>0.12154211601082066</v>
      </c>
    </row>
    <row r="249" spans="1:15" ht="30" x14ac:dyDescent="0.25">
      <c r="A249" s="19" t="s">
        <v>93</v>
      </c>
      <c r="B249" s="20">
        <v>0</v>
      </c>
      <c r="C249" s="20">
        <v>0</v>
      </c>
      <c r="D249" s="20">
        <v>0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f t="shared" si="83"/>
        <v>0</v>
      </c>
      <c r="O249" s="21">
        <f t="shared" si="82"/>
        <v>0</v>
      </c>
    </row>
    <row r="250" spans="1:15" ht="30" x14ac:dyDescent="0.25">
      <c r="A250" s="19" t="s">
        <v>94</v>
      </c>
      <c r="B250" s="20">
        <v>0</v>
      </c>
      <c r="C250" s="20">
        <v>0</v>
      </c>
      <c r="D250" s="20">
        <v>0</v>
      </c>
      <c r="E250" s="20">
        <v>0</v>
      </c>
      <c r="F250" s="20">
        <v>0</v>
      </c>
      <c r="G250" s="20">
        <v>0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</v>
      </c>
      <c r="N250" s="20">
        <f>SUM(B250:M250)</f>
        <v>0</v>
      </c>
      <c r="O250" s="21">
        <f t="shared" si="82"/>
        <v>0</v>
      </c>
    </row>
    <row r="251" spans="1:15" ht="30" x14ac:dyDescent="0.25">
      <c r="A251" s="19" t="s">
        <v>95</v>
      </c>
      <c r="B251" s="20"/>
      <c r="C251" s="20">
        <v>1000</v>
      </c>
      <c r="D251" s="20">
        <v>1000</v>
      </c>
      <c r="E251" s="20">
        <v>1000</v>
      </c>
      <c r="F251" s="20">
        <v>1000</v>
      </c>
      <c r="G251" s="20">
        <v>1000</v>
      </c>
      <c r="H251" s="20">
        <v>1000</v>
      </c>
      <c r="I251" s="20">
        <v>1000</v>
      </c>
      <c r="J251" s="20">
        <v>1000</v>
      </c>
      <c r="K251" s="20">
        <v>1000</v>
      </c>
      <c r="L251" s="20">
        <v>1000</v>
      </c>
      <c r="M251" s="20">
        <v>1000</v>
      </c>
      <c r="N251" s="20">
        <f t="shared" si="83"/>
        <v>11000</v>
      </c>
      <c r="O251" s="21">
        <f t="shared" si="82"/>
        <v>0.5570680317162614</v>
      </c>
    </row>
    <row r="252" spans="1:15" ht="30" x14ac:dyDescent="0.25">
      <c r="A252" s="19" t="s">
        <v>96</v>
      </c>
      <c r="B252" s="20">
        <v>500</v>
      </c>
      <c r="C252" s="20">
        <v>500</v>
      </c>
      <c r="D252" s="20">
        <v>500</v>
      </c>
      <c r="E252" s="20">
        <v>500</v>
      </c>
      <c r="F252" s="20">
        <v>500</v>
      </c>
      <c r="G252" s="20">
        <v>500</v>
      </c>
      <c r="H252" s="20">
        <v>500</v>
      </c>
      <c r="I252" s="20">
        <v>500</v>
      </c>
      <c r="J252" s="20">
        <v>500</v>
      </c>
      <c r="K252" s="20">
        <v>500</v>
      </c>
      <c r="L252" s="20">
        <v>500</v>
      </c>
      <c r="M252" s="20">
        <v>500</v>
      </c>
      <c r="N252" s="20">
        <f t="shared" si="83"/>
        <v>6000</v>
      </c>
      <c r="O252" s="21">
        <f t="shared" si="82"/>
        <v>0.30385529002705164</v>
      </c>
    </row>
    <row r="253" spans="1:15" ht="30" x14ac:dyDescent="0.25">
      <c r="A253" s="7" t="s">
        <v>97</v>
      </c>
      <c r="B253" s="8">
        <f>SUM(B254:B263)</f>
        <v>0</v>
      </c>
      <c r="C253" s="8">
        <f>SUM(C254:C263)</f>
        <v>66737.22</v>
      </c>
      <c r="D253" s="8">
        <f t="shared" ref="D253:N253" si="85">SUM(D254:D263)</f>
        <v>80738.94</v>
      </c>
      <c r="E253" s="8">
        <f t="shared" si="85"/>
        <v>80738.94</v>
      </c>
      <c r="F253" s="8">
        <f t="shared" si="85"/>
        <v>80738.94</v>
      </c>
      <c r="G253" s="8">
        <f t="shared" si="85"/>
        <v>106351.58</v>
      </c>
      <c r="H253" s="8">
        <f t="shared" si="85"/>
        <v>106351.58</v>
      </c>
      <c r="I253" s="8">
        <f t="shared" si="85"/>
        <v>46087.259999999995</v>
      </c>
      <c r="J253" s="8">
        <f t="shared" si="85"/>
        <v>25612.639999999999</v>
      </c>
      <c r="K253" s="8">
        <f t="shared" si="85"/>
        <v>25612.639999999999</v>
      </c>
      <c r="L253" s="8">
        <f t="shared" si="85"/>
        <v>25612.639999999999</v>
      </c>
      <c r="M253" s="8">
        <f t="shared" si="85"/>
        <v>0</v>
      </c>
      <c r="N253" s="8">
        <f t="shared" si="85"/>
        <v>644582.38</v>
      </c>
      <c r="O253" s="9">
        <f>N253/$N$2*100</f>
        <v>32.6432943368712</v>
      </c>
    </row>
    <row r="254" spans="1:15" x14ac:dyDescent="0.25">
      <c r="A254" s="19" t="s">
        <v>98</v>
      </c>
      <c r="B254" s="20">
        <v>0</v>
      </c>
      <c r="C254" s="20">
        <v>0</v>
      </c>
      <c r="D254" s="20">
        <v>0</v>
      </c>
      <c r="E254" s="20">
        <v>0</v>
      </c>
      <c r="F254" s="20">
        <v>0</v>
      </c>
      <c r="G254" s="20">
        <v>0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</v>
      </c>
      <c r="N254" s="20">
        <f>SUM(B254:M254)</f>
        <v>0</v>
      </c>
      <c r="O254" s="21">
        <f t="shared" ref="O254:O263" si="86">N254/$N$2*100</f>
        <v>0</v>
      </c>
    </row>
    <row r="255" spans="1:15" ht="45" x14ac:dyDescent="0.25">
      <c r="A255" s="93" t="s">
        <v>99</v>
      </c>
      <c r="B255" s="94"/>
      <c r="C255" s="94">
        <v>58264.32</v>
      </c>
      <c r="D255" s="94">
        <v>58264.32</v>
      </c>
      <c r="E255" s="94">
        <v>58264.32</v>
      </c>
      <c r="F255" s="94">
        <v>58264.32</v>
      </c>
      <c r="G255" s="94">
        <v>58264.32</v>
      </c>
      <c r="H255" s="94">
        <v>58264.32</v>
      </c>
      <c r="I255" s="94"/>
      <c r="J255" s="94"/>
      <c r="K255" s="94"/>
      <c r="L255" s="94"/>
      <c r="M255" s="94"/>
      <c r="N255" s="20">
        <f t="shared" ref="N255:N263" si="87">SUM(B255:M255)</f>
        <v>349585.91999999998</v>
      </c>
      <c r="O255" s="21">
        <f t="shared" si="86"/>
        <v>17.703921851828945</v>
      </c>
    </row>
    <row r="256" spans="1:15" ht="30" x14ac:dyDescent="0.25">
      <c r="A256" s="19" t="s">
        <v>100</v>
      </c>
      <c r="B256" s="20"/>
      <c r="C256" s="20"/>
      <c r="D256" s="20">
        <v>1474.62</v>
      </c>
      <c r="E256" s="20">
        <v>1474.62</v>
      </c>
      <c r="F256" s="20">
        <v>1474.62</v>
      </c>
      <c r="G256" s="20">
        <v>1474.62</v>
      </c>
      <c r="H256" s="20">
        <v>1474.62</v>
      </c>
      <c r="I256" s="20">
        <v>1474.62</v>
      </c>
      <c r="J256" s="20"/>
      <c r="K256" s="20"/>
      <c r="L256" s="20"/>
      <c r="M256" s="20"/>
      <c r="N256" s="20">
        <f t="shared" si="87"/>
        <v>8847.7199999999993</v>
      </c>
      <c r="O256" s="21">
        <f t="shared" si="86"/>
        <v>0.44807108777969085</v>
      </c>
    </row>
    <row r="257" spans="1:15" ht="30" x14ac:dyDescent="0.25">
      <c r="A257" s="19" t="s">
        <v>101</v>
      </c>
      <c r="B257" s="20"/>
      <c r="C257" s="20"/>
      <c r="D257" s="20">
        <v>17500</v>
      </c>
      <c r="E257" s="20">
        <v>17500</v>
      </c>
      <c r="F257" s="20">
        <v>17500</v>
      </c>
      <c r="G257" s="20">
        <v>17500</v>
      </c>
      <c r="H257" s="20">
        <v>17500</v>
      </c>
      <c r="I257" s="20">
        <v>17500</v>
      </c>
      <c r="J257" s="20"/>
      <c r="K257" s="20"/>
      <c r="L257" s="20"/>
      <c r="M257" s="20"/>
      <c r="N257" s="20">
        <f t="shared" si="87"/>
        <v>105000</v>
      </c>
      <c r="O257" s="21">
        <f t="shared" si="86"/>
        <v>5.3174675754734038</v>
      </c>
    </row>
    <row r="258" spans="1:15" ht="30" x14ac:dyDescent="0.25">
      <c r="A258" s="19" t="s">
        <v>102</v>
      </c>
      <c r="B258" s="20"/>
      <c r="C258" s="20"/>
      <c r="D258" s="20"/>
      <c r="E258" s="20"/>
      <c r="F258" s="20"/>
      <c r="G258" s="20">
        <v>25612.639999999999</v>
      </c>
      <c r="H258" s="20">
        <v>25612.639999999999</v>
      </c>
      <c r="I258" s="20">
        <v>25612.639999999999</v>
      </c>
      <c r="J258" s="20">
        <v>25612.639999999999</v>
      </c>
      <c r="K258" s="20">
        <v>25612.639999999999</v>
      </c>
      <c r="L258" s="20">
        <v>25612.639999999999</v>
      </c>
      <c r="M258" s="20"/>
      <c r="N258" s="20">
        <f t="shared" si="87"/>
        <v>153675.84</v>
      </c>
      <c r="O258" s="21">
        <f t="shared" si="86"/>
        <v>7.7825361555584642</v>
      </c>
    </row>
    <row r="259" spans="1:15" x14ac:dyDescent="0.25">
      <c r="A259" s="19" t="s">
        <v>103</v>
      </c>
      <c r="B259" s="20">
        <v>0</v>
      </c>
      <c r="C259" s="20">
        <v>0</v>
      </c>
      <c r="D259" s="20">
        <v>0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</v>
      </c>
      <c r="N259" s="20">
        <f t="shared" si="87"/>
        <v>0</v>
      </c>
      <c r="O259" s="21">
        <f t="shared" si="86"/>
        <v>0</v>
      </c>
    </row>
    <row r="260" spans="1:15" ht="30" x14ac:dyDescent="0.25">
      <c r="A260" s="19" t="s">
        <v>104</v>
      </c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>
        <f t="shared" si="87"/>
        <v>0</v>
      </c>
      <c r="O260" s="21">
        <f t="shared" si="86"/>
        <v>0</v>
      </c>
    </row>
    <row r="261" spans="1:15" ht="30" x14ac:dyDescent="0.25">
      <c r="A261" s="13" t="s">
        <v>105</v>
      </c>
      <c r="B261" s="14"/>
      <c r="C261" s="14"/>
      <c r="D261" s="14">
        <f t="shared" ref="D261:I261" si="88">(((20*15))*30)/6</f>
        <v>1500</v>
      </c>
      <c r="E261" s="14">
        <f t="shared" si="88"/>
        <v>1500</v>
      </c>
      <c r="F261" s="14">
        <f t="shared" si="88"/>
        <v>1500</v>
      </c>
      <c r="G261" s="14">
        <f t="shared" si="88"/>
        <v>1500</v>
      </c>
      <c r="H261" s="14">
        <f t="shared" si="88"/>
        <v>1500</v>
      </c>
      <c r="I261" s="14">
        <f t="shared" si="88"/>
        <v>1500</v>
      </c>
      <c r="J261" s="95"/>
      <c r="K261" s="95"/>
      <c r="L261" s="95"/>
      <c r="M261" s="95"/>
      <c r="N261" s="20">
        <f t="shared" si="87"/>
        <v>9000</v>
      </c>
      <c r="O261" s="21">
        <f t="shared" si="86"/>
        <v>0.45578293504057749</v>
      </c>
    </row>
    <row r="262" spans="1:15" ht="30" x14ac:dyDescent="0.25">
      <c r="A262" s="13" t="s">
        <v>106</v>
      </c>
      <c r="B262" s="14"/>
      <c r="C262" s="14">
        <f>1842+1949.9+1681+3000</f>
        <v>8472.9</v>
      </c>
      <c r="D262" s="14"/>
      <c r="E262" s="14"/>
      <c r="F262" s="14"/>
      <c r="G262" s="14"/>
      <c r="H262" s="14"/>
      <c r="I262" s="14"/>
      <c r="J262" s="20"/>
      <c r="K262" s="20"/>
      <c r="L262" s="20"/>
      <c r="M262" s="20"/>
      <c r="N262" s="20">
        <f t="shared" si="87"/>
        <v>8472.9</v>
      </c>
      <c r="O262" s="21">
        <f t="shared" si="86"/>
        <v>0.42908924781170099</v>
      </c>
    </row>
    <row r="263" spans="1:15" ht="45" x14ac:dyDescent="0.25">
      <c r="A263" s="13" t="s">
        <v>107</v>
      </c>
      <c r="B263" s="14"/>
      <c r="C263" s="14"/>
      <c r="D263" s="14">
        <v>2000</v>
      </c>
      <c r="E263" s="14">
        <v>2000</v>
      </c>
      <c r="F263" s="14">
        <v>2000</v>
      </c>
      <c r="G263" s="14">
        <v>2000</v>
      </c>
      <c r="H263" s="14">
        <v>2000</v>
      </c>
      <c r="I263" s="14"/>
      <c r="J263" s="20"/>
      <c r="K263" s="20"/>
      <c r="L263" s="20"/>
      <c r="M263" s="20"/>
      <c r="N263" s="20">
        <f t="shared" si="87"/>
        <v>10000</v>
      </c>
      <c r="O263" s="21">
        <f t="shared" si="86"/>
        <v>0.50642548337841942</v>
      </c>
    </row>
    <row r="264" spans="1:15" x14ac:dyDescent="0.25">
      <c r="A264" s="7" t="s">
        <v>108</v>
      </c>
      <c r="B264" s="8">
        <f>SUM(B265:B275)</f>
        <v>8406.9</v>
      </c>
      <c r="C264" s="8">
        <f t="shared" ref="C264:N264" si="89">SUM(C265:C275)</f>
        <v>3411.9</v>
      </c>
      <c r="D264" s="8">
        <f t="shared" si="89"/>
        <v>3811.9</v>
      </c>
      <c r="E264" s="8">
        <f t="shared" si="89"/>
        <v>3811.9</v>
      </c>
      <c r="F264" s="8">
        <f t="shared" si="89"/>
        <v>5711.9</v>
      </c>
      <c r="G264" s="8">
        <f t="shared" si="89"/>
        <v>6711.9</v>
      </c>
      <c r="H264" s="8">
        <f t="shared" si="89"/>
        <v>4811.8999999999996</v>
      </c>
      <c r="I264" s="8">
        <f t="shared" si="89"/>
        <v>4811.8999999999996</v>
      </c>
      <c r="J264" s="8">
        <f t="shared" si="89"/>
        <v>3811.9</v>
      </c>
      <c r="K264" s="8">
        <f t="shared" si="89"/>
        <v>3811.9</v>
      </c>
      <c r="L264" s="8">
        <f t="shared" si="89"/>
        <v>3811.9</v>
      </c>
      <c r="M264" s="8">
        <f t="shared" si="89"/>
        <v>3811.9</v>
      </c>
      <c r="N264" s="8">
        <f t="shared" si="89"/>
        <v>56737.799999999996</v>
      </c>
      <c r="O264" s="9">
        <f>N264/$N$2*100</f>
        <v>2.8733467790828082</v>
      </c>
    </row>
    <row r="265" spans="1:15" ht="30" x14ac:dyDescent="0.25">
      <c r="A265" s="19" t="s">
        <v>109</v>
      </c>
      <c r="B265" s="20">
        <v>0</v>
      </c>
      <c r="C265" s="20">
        <v>0</v>
      </c>
      <c r="D265" s="20">
        <v>0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</v>
      </c>
      <c r="N265" s="20">
        <f t="shared" ref="N265:N383" si="90">SUM(B265:M265)</f>
        <v>0</v>
      </c>
      <c r="O265" s="21">
        <f t="shared" ref="O265:O275" si="91">N265/$N$2*100</f>
        <v>0</v>
      </c>
    </row>
    <row r="266" spans="1:15" ht="30" x14ac:dyDescent="0.25">
      <c r="A266" s="19" t="s">
        <v>110</v>
      </c>
      <c r="B266" s="20">
        <f t="shared" ref="B266:M266" si="92">2000/12</f>
        <v>166.66666666666666</v>
      </c>
      <c r="C266" s="20">
        <f t="shared" si="92"/>
        <v>166.66666666666666</v>
      </c>
      <c r="D266" s="20">
        <f t="shared" si="92"/>
        <v>166.66666666666666</v>
      </c>
      <c r="E266" s="20">
        <f t="shared" si="92"/>
        <v>166.66666666666666</v>
      </c>
      <c r="F266" s="20">
        <f t="shared" si="92"/>
        <v>166.66666666666666</v>
      </c>
      <c r="G266" s="20">
        <f t="shared" si="92"/>
        <v>166.66666666666666</v>
      </c>
      <c r="H266" s="20">
        <f t="shared" si="92"/>
        <v>166.66666666666666</v>
      </c>
      <c r="I266" s="20">
        <f t="shared" si="92"/>
        <v>166.66666666666666</v>
      </c>
      <c r="J266" s="20">
        <f t="shared" si="92"/>
        <v>166.66666666666666</v>
      </c>
      <c r="K266" s="20">
        <f t="shared" si="92"/>
        <v>166.66666666666666</v>
      </c>
      <c r="L266" s="20">
        <f t="shared" si="92"/>
        <v>166.66666666666666</v>
      </c>
      <c r="M266" s="20">
        <f t="shared" si="92"/>
        <v>166.66666666666666</v>
      </c>
      <c r="N266" s="20">
        <f t="shared" si="90"/>
        <v>2000.0000000000002</v>
      </c>
      <c r="O266" s="21">
        <f t="shared" si="91"/>
        <v>0.10128509667568389</v>
      </c>
    </row>
    <row r="267" spans="1:15" ht="60" x14ac:dyDescent="0.25">
      <c r="A267" s="19" t="s">
        <v>111</v>
      </c>
      <c r="B267" s="20">
        <f t="shared" ref="B267:M267" si="93">2200/12</f>
        <v>183.33333333333334</v>
      </c>
      <c r="C267" s="20">
        <f t="shared" si="93"/>
        <v>183.33333333333334</v>
      </c>
      <c r="D267" s="20">
        <f t="shared" si="93"/>
        <v>183.33333333333334</v>
      </c>
      <c r="E267" s="20">
        <f t="shared" si="93"/>
        <v>183.33333333333334</v>
      </c>
      <c r="F267" s="20">
        <f t="shared" si="93"/>
        <v>183.33333333333334</v>
      </c>
      <c r="G267" s="20">
        <f t="shared" si="93"/>
        <v>183.33333333333334</v>
      </c>
      <c r="H267" s="20">
        <f t="shared" si="93"/>
        <v>183.33333333333334</v>
      </c>
      <c r="I267" s="20">
        <f t="shared" si="93"/>
        <v>183.33333333333334</v>
      </c>
      <c r="J267" s="20">
        <f t="shared" si="93"/>
        <v>183.33333333333334</v>
      </c>
      <c r="K267" s="20">
        <f t="shared" si="93"/>
        <v>183.33333333333334</v>
      </c>
      <c r="L267" s="20">
        <f t="shared" si="93"/>
        <v>183.33333333333334</v>
      </c>
      <c r="M267" s="20">
        <f t="shared" si="93"/>
        <v>183.33333333333334</v>
      </c>
      <c r="N267" s="20">
        <f t="shared" si="90"/>
        <v>2199.9999999999995</v>
      </c>
      <c r="O267" s="21">
        <f t="shared" si="91"/>
        <v>0.11141360634325224</v>
      </c>
    </row>
    <row r="268" spans="1:15" ht="45" x14ac:dyDescent="0.25">
      <c r="A268" s="19" t="s">
        <v>112</v>
      </c>
      <c r="B268" s="20">
        <v>0</v>
      </c>
      <c r="C268" s="20">
        <v>0</v>
      </c>
      <c r="D268" s="20">
        <v>0</v>
      </c>
      <c r="E268" s="20">
        <v>0</v>
      </c>
      <c r="F268" s="20">
        <v>0</v>
      </c>
      <c r="G268" s="20">
        <v>0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</v>
      </c>
      <c r="N268" s="20">
        <f t="shared" si="90"/>
        <v>0</v>
      </c>
      <c r="O268" s="21">
        <f t="shared" si="91"/>
        <v>0</v>
      </c>
    </row>
    <row r="269" spans="1:15" ht="45" x14ac:dyDescent="0.25">
      <c r="A269" s="19" t="s">
        <v>113</v>
      </c>
      <c r="B269" s="20"/>
      <c r="C269" s="20"/>
      <c r="D269" s="20"/>
      <c r="E269" s="20">
        <v>0</v>
      </c>
      <c r="F269" s="20">
        <v>1900</v>
      </c>
      <c r="G269" s="20">
        <v>1900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</v>
      </c>
      <c r="N269" s="20">
        <f t="shared" si="90"/>
        <v>3800</v>
      </c>
      <c r="O269" s="21">
        <f t="shared" si="91"/>
        <v>0.19244168368379938</v>
      </c>
    </row>
    <row r="270" spans="1:15" ht="30" x14ac:dyDescent="0.25">
      <c r="A270" s="19" t="s">
        <v>114</v>
      </c>
      <c r="B270" s="20"/>
      <c r="C270" s="20"/>
      <c r="D270" s="20"/>
      <c r="E270" s="20"/>
      <c r="F270" s="20"/>
      <c r="G270" s="20">
        <v>1000</v>
      </c>
      <c r="H270" s="20">
        <v>1000</v>
      </c>
      <c r="I270" s="20">
        <v>1000</v>
      </c>
      <c r="J270" s="20"/>
      <c r="K270" s="20"/>
      <c r="L270" s="20"/>
      <c r="M270" s="20"/>
      <c r="N270" s="20">
        <f t="shared" si="90"/>
        <v>3000</v>
      </c>
      <c r="O270" s="21">
        <f t="shared" si="91"/>
        <v>0.15192764501352582</v>
      </c>
    </row>
    <row r="271" spans="1:15" ht="30" x14ac:dyDescent="0.25">
      <c r="A271" s="19" t="s">
        <v>115</v>
      </c>
      <c r="B271" s="20"/>
      <c r="C271" s="20"/>
      <c r="D271" s="20">
        <v>200</v>
      </c>
      <c r="E271" s="20">
        <v>200</v>
      </c>
      <c r="F271" s="20">
        <v>200</v>
      </c>
      <c r="G271" s="20">
        <v>200</v>
      </c>
      <c r="H271" s="20">
        <v>200</v>
      </c>
      <c r="I271" s="20">
        <v>200</v>
      </c>
      <c r="J271" s="20">
        <v>200</v>
      </c>
      <c r="K271" s="20">
        <v>200</v>
      </c>
      <c r="L271" s="20">
        <v>200</v>
      </c>
      <c r="M271" s="20">
        <v>200</v>
      </c>
      <c r="N271" s="20">
        <f t="shared" si="90"/>
        <v>2000</v>
      </c>
      <c r="O271" s="21">
        <f t="shared" si="91"/>
        <v>0.10128509667568389</v>
      </c>
    </row>
    <row r="272" spans="1:15" ht="45" x14ac:dyDescent="0.25">
      <c r="A272" s="19" t="s">
        <v>116</v>
      </c>
      <c r="B272" s="20">
        <f t="shared" ref="B272:M272" si="94">387.9+300</f>
        <v>687.9</v>
      </c>
      <c r="C272" s="20">
        <f t="shared" si="94"/>
        <v>687.9</v>
      </c>
      <c r="D272" s="20">
        <f t="shared" si="94"/>
        <v>687.9</v>
      </c>
      <c r="E272" s="20">
        <f t="shared" si="94"/>
        <v>687.9</v>
      </c>
      <c r="F272" s="20">
        <f t="shared" si="94"/>
        <v>687.9</v>
      </c>
      <c r="G272" s="20">
        <f t="shared" si="94"/>
        <v>687.9</v>
      </c>
      <c r="H272" s="20">
        <f t="shared" si="94"/>
        <v>687.9</v>
      </c>
      <c r="I272" s="20">
        <f t="shared" si="94"/>
        <v>687.9</v>
      </c>
      <c r="J272" s="20">
        <f t="shared" si="94"/>
        <v>687.9</v>
      </c>
      <c r="K272" s="20">
        <f t="shared" si="94"/>
        <v>687.9</v>
      </c>
      <c r="L272" s="20">
        <f t="shared" si="94"/>
        <v>687.9</v>
      </c>
      <c r="M272" s="20">
        <f t="shared" si="94"/>
        <v>687.9</v>
      </c>
      <c r="N272" s="20">
        <f t="shared" si="90"/>
        <v>8254.7999999999975</v>
      </c>
      <c r="O272" s="21">
        <f t="shared" si="91"/>
        <v>0.41804410801921749</v>
      </c>
    </row>
    <row r="273" spans="1:15" x14ac:dyDescent="0.25">
      <c r="A273" s="19" t="s">
        <v>117</v>
      </c>
      <c r="B273" s="20"/>
      <c r="C273" s="20"/>
      <c r="D273" s="20">
        <v>200</v>
      </c>
      <c r="E273" s="20">
        <v>200</v>
      </c>
      <c r="F273" s="20">
        <v>200</v>
      </c>
      <c r="G273" s="20">
        <v>200</v>
      </c>
      <c r="H273" s="20">
        <v>200</v>
      </c>
      <c r="I273" s="20">
        <v>200</v>
      </c>
      <c r="J273" s="20">
        <v>200</v>
      </c>
      <c r="K273" s="20">
        <v>200</v>
      </c>
      <c r="L273" s="20">
        <v>200</v>
      </c>
      <c r="M273" s="20">
        <v>200</v>
      </c>
      <c r="N273" s="20">
        <f t="shared" si="90"/>
        <v>2000</v>
      </c>
      <c r="O273" s="21">
        <f t="shared" si="91"/>
        <v>0.10128509667568389</v>
      </c>
    </row>
    <row r="274" spans="1:15" x14ac:dyDescent="0.25">
      <c r="A274" s="19" t="s">
        <v>118</v>
      </c>
      <c r="B274" s="20">
        <v>2374</v>
      </c>
      <c r="C274" s="20">
        <v>2374</v>
      </c>
      <c r="D274" s="20">
        <v>2374</v>
      </c>
      <c r="E274" s="20">
        <v>2374</v>
      </c>
      <c r="F274" s="20">
        <v>2374</v>
      </c>
      <c r="G274" s="20">
        <v>2374</v>
      </c>
      <c r="H274" s="20">
        <v>2374</v>
      </c>
      <c r="I274" s="20">
        <v>2374</v>
      </c>
      <c r="J274" s="20">
        <v>2374</v>
      </c>
      <c r="K274" s="20">
        <v>2374</v>
      </c>
      <c r="L274" s="20">
        <v>2374</v>
      </c>
      <c r="M274" s="20">
        <v>2374</v>
      </c>
      <c r="N274" s="20">
        <f t="shared" si="90"/>
        <v>28488</v>
      </c>
      <c r="O274" s="21">
        <f t="shared" si="91"/>
        <v>1.4427049170484412</v>
      </c>
    </row>
    <row r="275" spans="1:15" ht="30" x14ac:dyDescent="0.25">
      <c r="A275" s="19" t="s">
        <v>119</v>
      </c>
      <c r="B275" s="20">
        <v>4995</v>
      </c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>
        <f t="shared" si="90"/>
        <v>4995</v>
      </c>
      <c r="O275" s="21">
        <f t="shared" si="91"/>
        <v>0.2529595289475205</v>
      </c>
    </row>
    <row r="276" spans="1:15" x14ac:dyDescent="0.25">
      <c r="A276" s="7" t="s">
        <v>120</v>
      </c>
      <c r="B276" s="8">
        <f>SUM(B277:B292)</f>
        <v>5433.3333333333339</v>
      </c>
      <c r="C276" s="8">
        <f t="shared" ref="C276:N276" si="95">SUM(C277:C292)</f>
        <v>5513.3333333333339</v>
      </c>
      <c r="D276" s="8">
        <f t="shared" si="95"/>
        <v>4100</v>
      </c>
      <c r="E276" s="8">
        <f t="shared" si="95"/>
        <v>14100</v>
      </c>
      <c r="F276" s="8">
        <f t="shared" si="95"/>
        <v>14100</v>
      </c>
      <c r="G276" s="8">
        <f t="shared" si="95"/>
        <v>14100</v>
      </c>
      <c r="H276" s="8">
        <f t="shared" si="95"/>
        <v>16600</v>
      </c>
      <c r="I276" s="8">
        <f t="shared" si="95"/>
        <v>16600</v>
      </c>
      <c r="J276" s="8">
        <f t="shared" si="95"/>
        <v>16600</v>
      </c>
      <c r="K276" s="8">
        <f t="shared" si="95"/>
        <v>16600</v>
      </c>
      <c r="L276" s="8">
        <f t="shared" si="95"/>
        <v>6600.0000000000009</v>
      </c>
      <c r="M276" s="8">
        <f t="shared" si="95"/>
        <v>6600.0000000000009</v>
      </c>
      <c r="N276" s="8">
        <f t="shared" si="95"/>
        <v>136946.66666666669</v>
      </c>
      <c r="O276" s="9">
        <f>N276/$N$2*100</f>
        <v>6.9353281863729954</v>
      </c>
    </row>
    <row r="277" spans="1:15" ht="45" x14ac:dyDescent="0.25">
      <c r="A277" s="19" t="s">
        <v>121</v>
      </c>
      <c r="B277" s="20">
        <v>0</v>
      </c>
      <c r="C277" s="20">
        <v>80</v>
      </c>
      <c r="D277" s="20">
        <v>0</v>
      </c>
      <c r="E277" s="20">
        <v>0</v>
      </c>
      <c r="F277" s="20">
        <v>0</v>
      </c>
      <c r="G277" s="20">
        <v>0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</v>
      </c>
      <c r="N277" s="20">
        <f>SUM(B277:M277)</f>
        <v>80</v>
      </c>
      <c r="O277" s="21">
        <f t="shared" ref="O277:O284" si="96">N277/$N$2*100</f>
        <v>4.0514038670273556E-3</v>
      </c>
    </row>
    <row r="278" spans="1:15" ht="30" x14ac:dyDescent="0.25">
      <c r="A278" s="19" t="s">
        <v>122</v>
      </c>
      <c r="B278" s="20">
        <v>3000</v>
      </c>
      <c r="C278" s="20">
        <v>3000</v>
      </c>
      <c r="D278" s="20">
        <v>3000</v>
      </c>
      <c r="E278" s="20">
        <v>3000</v>
      </c>
      <c r="F278" s="20">
        <v>3000</v>
      </c>
      <c r="G278" s="20">
        <v>3000</v>
      </c>
      <c r="H278" s="20">
        <v>3000</v>
      </c>
      <c r="I278" s="20">
        <v>3000</v>
      </c>
      <c r="J278" s="20">
        <v>3000</v>
      </c>
      <c r="K278" s="20">
        <v>3000</v>
      </c>
      <c r="L278" s="20">
        <v>3000</v>
      </c>
      <c r="M278" s="20">
        <v>3000</v>
      </c>
      <c r="N278" s="20">
        <f t="shared" ref="N278:N292" si="97">SUM(B278:M278)</f>
        <v>36000</v>
      </c>
      <c r="O278" s="21">
        <f t="shared" si="96"/>
        <v>1.8231317401623099</v>
      </c>
    </row>
    <row r="279" spans="1:15" ht="30" x14ac:dyDescent="0.25">
      <c r="A279" s="19" t="s">
        <v>123</v>
      </c>
      <c r="B279" s="20">
        <f t="shared" ref="B279:M279" si="98">1200/12</f>
        <v>100</v>
      </c>
      <c r="C279" s="20">
        <f t="shared" si="98"/>
        <v>100</v>
      </c>
      <c r="D279" s="20">
        <f t="shared" si="98"/>
        <v>100</v>
      </c>
      <c r="E279" s="20">
        <f t="shared" si="98"/>
        <v>100</v>
      </c>
      <c r="F279" s="20">
        <f t="shared" si="98"/>
        <v>100</v>
      </c>
      <c r="G279" s="20">
        <f t="shared" si="98"/>
        <v>100</v>
      </c>
      <c r="H279" s="20">
        <f t="shared" si="98"/>
        <v>100</v>
      </c>
      <c r="I279" s="20">
        <f t="shared" si="98"/>
        <v>100</v>
      </c>
      <c r="J279" s="20">
        <f t="shared" si="98"/>
        <v>100</v>
      </c>
      <c r="K279" s="20">
        <f t="shared" si="98"/>
        <v>100</v>
      </c>
      <c r="L279" s="20">
        <f t="shared" si="98"/>
        <v>100</v>
      </c>
      <c r="M279" s="20">
        <f t="shared" si="98"/>
        <v>100</v>
      </c>
      <c r="N279" s="20">
        <f t="shared" si="97"/>
        <v>1200</v>
      </c>
      <c r="O279" s="21">
        <f t="shared" si="96"/>
        <v>6.0771058005410328E-2</v>
      </c>
    </row>
    <row r="280" spans="1:15" x14ac:dyDescent="0.25">
      <c r="A280" s="19" t="s">
        <v>124</v>
      </c>
      <c r="B280" s="20">
        <v>0</v>
      </c>
      <c r="C280" s="20">
        <v>0</v>
      </c>
      <c r="D280" s="20">
        <v>0</v>
      </c>
      <c r="E280" s="20">
        <v>0</v>
      </c>
      <c r="F280" s="20">
        <v>0</v>
      </c>
      <c r="G280" s="20">
        <v>0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</v>
      </c>
      <c r="N280" s="20">
        <f t="shared" si="97"/>
        <v>0</v>
      </c>
      <c r="O280" s="21">
        <f t="shared" si="96"/>
        <v>0</v>
      </c>
    </row>
    <row r="281" spans="1:15" ht="45" x14ac:dyDescent="0.25">
      <c r="A281" s="19" t="s">
        <v>125</v>
      </c>
      <c r="B281" s="20">
        <f t="shared" ref="B281:M281" si="99">4000/12</f>
        <v>333.33333333333331</v>
      </c>
      <c r="C281" s="20">
        <f t="shared" si="99"/>
        <v>333.33333333333331</v>
      </c>
      <c r="D281" s="20">
        <f t="shared" si="99"/>
        <v>333.33333333333331</v>
      </c>
      <c r="E281" s="20">
        <f t="shared" si="99"/>
        <v>333.33333333333331</v>
      </c>
      <c r="F281" s="20">
        <f t="shared" si="99"/>
        <v>333.33333333333331</v>
      </c>
      <c r="G281" s="20">
        <f t="shared" si="99"/>
        <v>333.33333333333331</v>
      </c>
      <c r="H281" s="20">
        <f t="shared" si="99"/>
        <v>333.33333333333331</v>
      </c>
      <c r="I281" s="20">
        <f t="shared" si="99"/>
        <v>333.33333333333331</v>
      </c>
      <c r="J281" s="20">
        <f t="shared" si="99"/>
        <v>333.33333333333331</v>
      </c>
      <c r="K281" s="20">
        <f t="shared" si="99"/>
        <v>333.33333333333331</v>
      </c>
      <c r="L281" s="20">
        <f t="shared" si="99"/>
        <v>333.33333333333331</v>
      </c>
      <c r="M281" s="20">
        <f t="shared" si="99"/>
        <v>333.33333333333331</v>
      </c>
      <c r="N281" s="20">
        <f t="shared" si="97"/>
        <v>4000.0000000000005</v>
      </c>
      <c r="O281" s="21">
        <f t="shared" si="96"/>
        <v>0.20257019335136778</v>
      </c>
    </row>
    <row r="282" spans="1:15" ht="30" x14ac:dyDescent="0.25">
      <c r="A282" s="19" t="s">
        <v>126</v>
      </c>
      <c r="B282" s="20"/>
      <c r="C282" s="20"/>
      <c r="D282" s="20"/>
      <c r="E282" s="20"/>
      <c r="F282" s="20"/>
      <c r="G282" s="20"/>
      <c r="H282" s="20">
        <v>2500</v>
      </c>
      <c r="I282" s="20">
        <v>2500</v>
      </c>
      <c r="J282" s="20">
        <v>2500</v>
      </c>
      <c r="K282" s="20">
        <v>2500</v>
      </c>
      <c r="L282" s="20">
        <v>2500</v>
      </c>
      <c r="M282" s="20">
        <v>2500</v>
      </c>
      <c r="N282" s="20">
        <f t="shared" si="97"/>
        <v>15000</v>
      </c>
      <c r="O282" s="21">
        <f t="shared" si="96"/>
        <v>0.75963822506762912</v>
      </c>
    </row>
    <row r="283" spans="1:15" ht="45" x14ac:dyDescent="0.25">
      <c r="A283" s="19" t="s">
        <v>127</v>
      </c>
      <c r="B283" s="20"/>
      <c r="C283" s="20"/>
      <c r="D283" s="20"/>
      <c r="E283" s="20">
        <v>10000</v>
      </c>
      <c r="F283" s="20">
        <v>10000</v>
      </c>
      <c r="G283" s="20">
        <v>10000</v>
      </c>
      <c r="H283" s="20">
        <v>10000</v>
      </c>
      <c r="I283" s="20">
        <v>10000</v>
      </c>
      <c r="J283" s="20">
        <v>10000</v>
      </c>
      <c r="K283" s="20">
        <v>10000</v>
      </c>
      <c r="L283" s="20"/>
      <c r="M283" s="20"/>
      <c r="N283" s="20">
        <f t="shared" si="97"/>
        <v>70000</v>
      </c>
      <c r="O283" s="21">
        <f t="shared" si="96"/>
        <v>3.5449783836489357</v>
      </c>
    </row>
    <row r="284" spans="1:15" ht="30" x14ac:dyDescent="0.25">
      <c r="A284" s="19" t="s">
        <v>128</v>
      </c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>
        <f t="shared" si="97"/>
        <v>0</v>
      </c>
      <c r="O284" s="21">
        <f t="shared" si="96"/>
        <v>0</v>
      </c>
    </row>
    <row r="285" spans="1:15" ht="30" x14ac:dyDescent="0.25">
      <c r="A285" s="19" t="s">
        <v>129</v>
      </c>
      <c r="B285" s="20"/>
      <c r="C285" s="20"/>
      <c r="D285" s="20">
        <f t="shared" ref="D285:M285" si="100">2000/12</f>
        <v>166.66666666666666</v>
      </c>
      <c r="E285" s="20">
        <f t="shared" si="100"/>
        <v>166.66666666666666</v>
      </c>
      <c r="F285" s="20">
        <f t="shared" si="100"/>
        <v>166.66666666666666</v>
      </c>
      <c r="G285" s="20">
        <f t="shared" si="100"/>
        <v>166.66666666666666</v>
      </c>
      <c r="H285" s="20">
        <f t="shared" si="100"/>
        <v>166.66666666666666</v>
      </c>
      <c r="I285" s="20">
        <f t="shared" si="100"/>
        <v>166.66666666666666</v>
      </c>
      <c r="J285" s="20">
        <f t="shared" si="100"/>
        <v>166.66666666666666</v>
      </c>
      <c r="K285" s="20">
        <f t="shared" si="100"/>
        <v>166.66666666666666</v>
      </c>
      <c r="L285" s="20">
        <f t="shared" si="100"/>
        <v>166.66666666666666</v>
      </c>
      <c r="M285" s="20">
        <f t="shared" si="100"/>
        <v>166.66666666666666</v>
      </c>
      <c r="N285" s="20">
        <f t="shared" si="97"/>
        <v>1666.6666666666667</v>
      </c>
      <c r="O285" s="21"/>
    </row>
    <row r="286" spans="1:15" ht="30" x14ac:dyDescent="0.25">
      <c r="A286" s="19" t="s">
        <v>130</v>
      </c>
      <c r="B286" s="20"/>
      <c r="C286" s="20"/>
      <c r="D286" s="20">
        <v>500</v>
      </c>
      <c r="E286" s="20">
        <v>500</v>
      </c>
      <c r="F286" s="20">
        <v>500</v>
      </c>
      <c r="G286" s="20">
        <v>500</v>
      </c>
      <c r="H286" s="20">
        <v>500</v>
      </c>
      <c r="I286" s="20">
        <v>500</v>
      </c>
      <c r="J286" s="20">
        <v>500</v>
      </c>
      <c r="K286" s="20">
        <v>500</v>
      </c>
      <c r="L286" s="20">
        <v>500</v>
      </c>
      <c r="M286" s="20">
        <v>500</v>
      </c>
      <c r="N286" s="20">
        <f t="shared" si="97"/>
        <v>5000</v>
      </c>
      <c r="O286" s="21">
        <f>N286/$N$2*100</f>
        <v>0.25321274168920971</v>
      </c>
    </row>
    <row r="287" spans="1:15" x14ac:dyDescent="0.25">
      <c r="A287" s="19" t="s">
        <v>131</v>
      </c>
      <c r="B287" s="20">
        <v>1000</v>
      </c>
      <c r="C287" s="20">
        <v>1000</v>
      </c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>
        <f t="shared" si="97"/>
        <v>2000</v>
      </c>
      <c r="O287" s="21">
        <f t="shared" ref="O287:O292" si="101">N287/$N$2*100</f>
        <v>0.10128509667568389</v>
      </c>
    </row>
    <row r="288" spans="1:15" x14ac:dyDescent="0.25">
      <c r="A288" s="19" t="s">
        <v>132</v>
      </c>
      <c r="B288" s="20">
        <v>1000</v>
      </c>
      <c r="C288" s="20">
        <v>1000</v>
      </c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>
        <f t="shared" si="97"/>
        <v>2000</v>
      </c>
      <c r="O288" s="21">
        <f t="shared" si="101"/>
        <v>0.10128509667568389</v>
      </c>
    </row>
    <row r="289" spans="1:15" x14ac:dyDescent="0.25">
      <c r="A289" s="19" t="s">
        <v>133</v>
      </c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>
        <f t="shared" si="97"/>
        <v>0</v>
      </c>
      <c r="O289" s="21">
        <f t="shared" si="101"/>
        <v>0</v>
      </c>
    </row>
    <row r="290" spans="1:15" x14ac:dyDescent="0.25">
      <c r="A290" s="96" t="s">
        <v>134</v>
      </c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>
        <f t="shared" si="97"/>
        <v>0</v>
      </c>
      <c r="O290" s="21">
        <f t="shared" si="101"/>
        <v>0</v>
      </c>
    </row>
    <row r="291" spans="1:15" x14ac:dyDescent="0.25">
      <c r="A291" s="19" t="s">
        <v>135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>
        <f t="shared" si="97"/>
        <v>0</v>
      </c>
      <c r="O291" s="21">
        <f t="shared" si="101"/>
        <v>0</v>
      </c>
    </row>
    <row r="292" spans="1:15" x14ac:dyDescent="0.25">
      <c r="A292" s="19" t="s">
        <v>136</v>
      </c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>
        <f t="shared" si="97"/>
        <v>0</v>
      </c>
      <c r="O292" s="21">
        <f t="shared" si="101"/>
        <v>0</v>
      </c>
    </row>
    <row r="293" spans="1:15" ht="30" x14ac:dyDescent="0.25">
      <c r="A293" s="7" t="s">
        <v>137</v>
      </c>
      <c r="B293" s="8">
        <f>SUM(B294:B299)</f>
        <v>4567.1499999999996</v>
      </c>
      <c r="C293" s="8">
        <f t="shared" ref="C293:N293" si="102">SUM(C294:C299)</f>
        <v>6650.4833333333336</v>
      </c>
      <c r="D293" s="8">
        <f t="shared" si="102"/>
        <v>6650.4833333333336</v>
      </c>
      <c r="E293" s="8">
        <f t="shared" si="102"/>
        <v>6650.4833333333336</v>
      </c>
      <c r="F293" s="8">
        <f t="shared" si="102"/>
        <v>5544.7633333333333</v>
      </c>
      <c r="G293" s="8">
        <f t="shared" si="102"/>
        <v>5544.7633333333333</v>
      </c>
      <c r="H293" s="8">
        <f t="shared" si="102"/>
        <v>7563.0966666666664</v>
      </c>
      <c r="I293" s="8">
        <f t="shared" si="102"/>
        <v>5479.7633333333342</v>
      </c>
      <c r="J293" s="8">
        <f t="shared" si="102"/>
        <v>5479.7633333333342</v>
      </c>
      <c r="K293" s="8">
        <f t="shared" si="102"/>
        <v>5479.7633333333342</v>
      </c>
      <c r="L293" s="8">
        <f t="shared" si="102"/>
        <v>4880.2833333333338</v>
      </c>
      <c r="M293" s="8">
        <f t="shared" si="102"/>
        <v>4880.2833333333338</v>
      </c>
      <c r="N293" s="8">
        <f t="shared" si="102"/>
        <v>69371.08</v>
      </c>
      <c r="O293" s="9">
        <f>N293/$N$2*100</f>
        <v>3.5131282721483004</v>
      </c>
    </row>
    <row r="294" spans="1:15" x14ac:dyDescent="0.25">
      <c r="A294" s="19" t="s">
        <v>138</v>
      </c>
      <c r="B294" s="20">
        <v>0</v>
      </c>
      <c r="C294" s="20">
        <v>0</v>
      </c>
      <c r="D294" s="20">
        <v>0</v>
      </c>
      <c r="E294" s="20">
        <v>0</v>
      </c>
      <c r="F294" s="20">
        <v>0</v>
      </c>
      <c r="G294" s="20">
        <v>0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</v>
      </c>
      <c r="N294" s="20">
        <f>SUM(B294:M294)</f>
        <v>0</v>
      </c>
      <c r="O294" s="21">
        <f t="shared" ref="O294:O296" si="103">N294/$N$2*100</f>
        <v>0</v>
      </c>
    </row>
    <row r="295" spans="1:15" x14ac:dyDescent="0.25">
      <c r="A295" s="19" t="s">
        <v>139</v>
      </c>
      <c r="B295" s="20">
        <f t="shared" ref="B295:G295" si="104">(363*30)/6</f>
        <v>1815</v>
      </c>
      <c r="C295" s="20">
        <f t="shared" si="104"/>
        <v>1815</v>
      </c>
      <c r="D295" s="20">
        <f t="shared" si="104"/>
        <v>1815</v>
      </c>
      <c r="E295" s="20">
        <f t="shared" si="104"/>
        <v>1815</v>
      </c>
      <c r="F295" s="20">
        <f t="shared" si="104"/>
        <v>1815</v>
      </c>
      <c r="G295" s="20">
        <f t="shared" si="104"/>
        <v>1815</v>
      </c>
      <c r="H295" s="20"/>
      <c r="I295" s="20"/>
      <c r="J295" s="20"/>
      <c r="K295" s="20"/>
      <c r="L295" s="20"/>
      <c r="M295" s="20"/>
      <c r="N295" s="20">
        <f t="shared" ref="N295:N299" si="105">SUM(B295:M295)</f>
        <v>10890</v>
      </c>
      <c r="O295" s="21">
        <f t="shared" si="103"/>
        <v>0.55149735139909872</v>
      </c>
    </row>
    <row r="296" spans="1:15" ht="30" x14ac:dyDescent="0.25">
      <c r="A296" s="19" t="s">
        <v>140</v>
      </c>
      <c r="B296" s="97"/>
      <c r="C296" s="97"/>
      <c r="D296" s="97"/>
      <c r="E296" s="97"/>
      <c r="F296" s="97"/>
      <c r="G296" s="97"/>
      <c r="H296" s="20">
        <f t="shared" ref="H296:M296" si="106">(200*15)/6</f>
        <v>500</v>
      </c>
      <c r="I296" s="20">
        <f t="shared" si="106"/>
        <v>500</v>
      </c>
      <c r="J296" s="20">
        <f t="shared" si="106"/>
        <v>500</v>
      </c>
      <c r="K296" s="20">
        <f t="shared" si="106"/>
        <v>500</v>
      </c>
      <c r="L296" s="20">
        <f t="shared" si="106"/>
        <v>500</v>
      </c>
      <c r="M296" s="20">
        <f t="shared" si="106"/>
        <v>500</v>
      </c>
      <c r="N296" s="20">
        <f t="shared" si="105"/>
        <v>3000</v>
      </c>
      <c r="O296" s="21">
        <f t="shared" si="103"/>
        <v>0.15192764501352582</v>
      </c>
    </row>
    <row r="297" spans="1:15" ht="30" x14ac:dyDescent="0.25">
      <c r="A297" s="13" t="s">
        <v>141</v>
      </c>
      <c r="B297" s="14"/>
      <c r="C297" s="14">
        <f t="shared" ref="C297:H297" si="107">(250*50)/6</f>
        <v>2083.3333333333335</v>
      </c>
      <c r="D297" s="14">
        <f t="shared" si="107"/>
        <v>2083.3333333333335</v>
      </c>
      <c r="E297" s="14">
        <f t="shared" si="107"/>
        <v>2083.3333333333335</v>
      </c>
      <c r="F297" s="14">
        <f t="shared" si="107"/>
        <v>2083.3333333333335</v>
      </c>
      <c r="G297" s="14">
        <f t="shared" si="107"/>
        <v>2083.3333333333335</v>
      </c>
      <c r="H297" s="14">
        <f t="shared" si="107"/>
        <v>2083.3333333333335</v>
      </c>
      <c r="I297" s="14"/>
      <c r="J297" s="14"/>
      <c r="K297" s="14"/>
      <c r="L297" s="14"/>
      <c r="M297" s="14"/>
      <c r="N297" s="20">
        <f t="shared" si="105"/>
        <v>12500.000000000002</v>
      </c>
      <c r="O297" s="15"/>
    </row>
    <row r="298" spans="1:15" ht="45" x14ac:dyDescent="0.25">
      <c r="A298" s="13" t="s">
        <v>142</v>
      </c>
      <c r="B298" s="14">
        <v>2752.15</v>
      </c>
      <c r="C298" s="14">
        <v>2752.15</v>
      </c>
      <c r="D298" s="14">
        <v>2752.15</v>
      </c>
      <c r="E298" s="14">
        <v>2752.15</v>
      </c>
      <c r="F298" s="14">
        <v>1646.43</v>
      </c>
      <c r="G298" s="14">
        <v>1646.43</v>
      </c>
      <c r="H298" s="14">
        <v>1646.43</v>
      </c>
      <c r="I298" s="14">
        <v>1646.43</v>
      </c>
      <c r="J298" s="14">
        <v>1646.43</v>
      </c>
      <c r="K298" s="14">
        <v>1646.43</v>
      </c>
      <c r="L298" s="14">
        <v>1046.95</v>
      </c>
      <c r="M298" s="14">
        <v>1046.95</v>
      </c>
      <c r="N298" s="20">
        <f t="shared" si="105"/>
        <v>22981.08</v>
      </c>
      <c r="O298" s="15"/>
    </row>
    <row r="299" spans="1:15" ht="60" x14ac:dyDescent="0.25">
      <c r="A299" s="13" t="s">
        <v>143</v>
      </c>
      <c r="B299" s="14"/>
      <c r="C299" s="14"/>
      <c r="D299" s="14"/>
      <c r="E299" s="14"/>
      <c r="F299" s="14"/>
      <c r="G299" s="14"/>
      <c r="H299" s="14">
        <f t="shared" ref="H299:M299" si="108">20000/6</f>
        <v>3333.3333333333335</v>
      </c>
      <c r="I299" s="14">
        <f t="shared" si="108"/>
        <v>3333.3333333333335</v>
      </c>
      <c r="J299" s="14">
        <f t="shared" si="108"/>
        <v>3333.3333333333335</v>
      </c>
      <c r="K299" s="14">
        <f t="shared" si="108"/>
        <v>3333.3333333333335</v>
      </c>
      <c r="L299" s="14">
        <f t="shared" si="108"/>
        <v>3333.3333333333335</v>
      </c>
      <c r="M299" s="14">
        <f t="shared" si="108"/>
        <v>3333.3333333333335</v>
      </c>
      <c r="N299" s="20">
        <f t="shared" si="105"/>
        <v>20000</v>
      </c>
      <c r="O299" s="15">
        <f>N299/$N$2*100</f>
        <v>1.0128509667568388</v>
      </c>
    </row>
    <row r="300" spans="1:15" x14ac:dyDescent="0.25">
      <c r="A300" s="7" t="s">
        <v>144</v>
      </c>
      <c r="B300" s="8">
        <f>SUM(B301:B305)</f>
        <v>11866.666666666668</v>
      </c>
      <c r="C300" s="8">
        <f t="shared" ref="C300:N300" si="109">SUM(C301:C305)</f>
        <v>4666.666666666667</v>
      </c>
      <c r="D300" s="8">
        <f t="shared" si="109"/>
        <v>4916.666666666667</v>
      </c>
      <c r="E300" s="8">
        <f t="shared" si="109"/>
        <v>4916.666666666667</v>
      </c>
      <c r="F300" s="8">
        <f t="shared" si="109"/>
        <v>4916.666666666667</v>
      </c>
      <c r="G300" s="8">
        <f t="shared" si="109"/>
        <v>4916.666666666667</v>
      </c>
      <c r="H300" s="8">
        <f t="shared" si="109"/>
        <v>4916.666666666667</v>
      </c>
      <c r="I300" s="8">
        <f t="shared" si="109"/>
        <v>750</v>
      </c>
      <c r="J300" s="8">
        <f t="shared" si="109"/>
        <v>750</v>
      </c>
      <c r="K300" s="8">
        <f t="shared" si="109"/>
        <v>750</v>
      </c>
      <c r="L300" s="8">
        <f t="shared" si="109"/>
        <v>750</v>
      </c>
      <c r="M300" s="8">
        <f t="shared" si="109"/>
        <v>1550</v>
      </c>
      <c r="N300" s="8">
        <f t="shared" si="109"/>
        <v>45666.666666666672</v>
      </c>
      <c r="O300" s="9">
        <f>N300/$N$2*100</f>
        <v>2.312676374094782</v>
      </c>
    </row>
    <row r="301" spans="1:15" ht="30" x14ac:dyDescent="0.25">
      <c r="A301" s="98" t="s">
        <v>145</v>
      </c>
      <c r="B301" s="14">
        <f t="shared" ref="B301:H301" si="110">50000/12</f>
        <v>4166.666666666667</v>
      </c>
      <c r="C301" s="14">
        <f t="shared" si="110"/>
        <v>4166.666666666667</v>
      </c>
      <c r="D301" s="14">
        <f t="shared" si="110"/>
        <v>4166.666666666667</v>
      </c>
      <c r="E301" s="14">
        <f t="shared" si="110"/>
        <v>4166.666666666667</v>
      </c>
      <c r="F301" s="14">
        <f t="shared" si="110"/>
        <v>4166.666666666667</v>
      </c>
      <c r="G301" s="14">
        <f t="shared" si="110"/>
        <v>4166.666666666667</v>
      </c>
      <c r="H301" s="14">
        <f t="shared" si="110"/>
        <v>4166.666666666667</v>
      </c>
      <c r="I301" s="14"/>
      <c r="J301" s="14"/>
      <c r="K301" s="14"/>
      <c r="L301" s="14"/>
      <c r="M301" s="14"/>
      <c r="N301" s="14">
        <f>SUM(B301:M301)</f>
        <v>29166.666666666672</v>
      </c>
      <c r="O301" s="15">
        <f t="shared" ref="O301:O303" si="111">N301/$N$2*100</f>
        <v>1.4770743265203901</v>
      </c>
    </row>
    <row r="302" spans="1:15" ht="30" x14ac:dyDescent="0.25">
      <c r="A302" s="98" t="s">
        <v>146</v>
      </c>
      <c r="B302" s="14">
        <v>3700</v>
      </c>
      <c r="C302" s="14">
        <v>200</v>
      </c>
      <c r="D302" s="14">
        <v>200</v>
      </c>
      <c r="E302" s="14">
        <v>200</v>
      </c>
      <c r="F302" s="14">
        <v>200</v>
      </c>
      <c r="G302" s="14">
        <v>200</v>
      </c>
      <c r="H302" s="14">
        <v>200</v>
      </c>
      <c r="I302" s="14">
        <v>200</v>
      </c>
      <c r="J302" s="14">
        <v>200</v>
      </c>
      <c r="K302" s="14">
        <v>200</v>
      </c>
      <c r="L302" s="14">
        <v>200</v>
      </c>
      <c r="M302" s="14">
        <f>12000/12</f>
        <v>1000</v>
      </c>
      <c r="N302" s="14">
        <f t="shared" ref="N302:N305" si="112">SUM(B302:M302)</f>
        <v>6700</v>
      </c>
      <c r="O302" s="15">
        <f t="shared" si="111"/>
        <v>0.33930507386354103</v>
      </c>
    </row>
    <row r="303" spans="1:15" ht="30" x14ac:dyDescent="0.25">
      <c r="A303" s="98" t="s">
        <v>147</v>
      </c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>
        <f t="shared" si="112"/>
        <v>0</v>
      </c>
      <c r="O303" s="15">
        <f t="shared" si="111"/>
        <v>0</v>
      </c>
    </row>
    <row r="304" spans="1:15" ht="30" x14ac:dyDescent="0.25">
      <c r="A304" s="98" t="s">
        <v>148</v>
      </c>
      <c r="B304" s="14"/>
      <c r="C304" s="14"/>
      <c r="D304" s="14">
        <v>250</v>
      </c>
      <c r="E304" s="14">
        <v>250</v>
      </c>
      <c r="F304" s="14">
        <v>250</v>
      </c>
      <c r="G304" s="14">
        <v>250</v>
      </c>
      <c r="H304" s="14">
        <v>250</v>
      </c>
      <c r="I304" s="14">
        <v>250</v>
      </c>
      <c r="J304" s="14">
        <v>250</v>
      </c>
      <c r="K304" s="14">
        <v>250</v>
      </c>
      <c r="L304" s="14">
        <v>250</v>
      </c>
      <c r="M304" s="14">
        <v>250</v>
      </c>
      <c r="N304" s="14">
        <f t="shared" si="112"/>
        <v>2500</v>
      </c>
      <c r="O304" s="15"/>
    </row>
    <row r="305" spans="1:15" ht="30" x14ac:dyDescent="0.25">
      <c r="A305" s="98" t="s">
        <v>149</v>
      </c>
      <c r="B305" s="14">
        <v>4000</v>
      </c>
      <c r="C305" s="14">
        <v>300</v>
      </c>
      <c r="D305" s="14">
        <v>300</v>
      </c>
      <c r="E305" s="14">
        <v>300</v>
      </c>
      <c r="F305" s="14">
        <v>300</v>
      </c>
      <c r="G305" s="14">
        <v>300</v>
      </c>
      <c r="H305" s="14">
        <v>300</v>
      </c>
      <c r="I305" s="14">
        <v>300</v>
      </c>
      <c r="J305" s="14">
        <v>300</v>
      </c>
      <c r="K305" s="14">
        <v>300</v>
      </c>
      <c r="L305" s="14">
        <v>300</v>
      </c>
      <c r="M305" s="14">
        <v>300</v>
      </c>
      <c r="N305" s="14">
        <f t="shared" si="112"/>
        <v>7300</v>
      </c>
      <c r="O305" s="15">
        <f>N305/$N$2*100</f>
        <v>0.36969060286624617</v>
      </c>
    </row>
    <row r="306" spans="1:15" ht="30" x14ac:dyDescent="0.25">
      <c r="A306" s="7" t="s">
        <v>150</v>
      </c>
      <c r="B306" s="8">
        <f>SUM(B307:B313)</f>
        <v>5292.2746666666671</v>
      </c>
      <c r="C306" s="8">
        <f t="shared" ref="C306:N306" si="113">SUM(C307:C313)</f>
        <v>5292.2746666666671</v>
      </c>
      <c r="D306" s="8">
        <f t="shared" si="113"/>
        <v>5292.2746666666671</v>
      </c>
      <c r="E306" s="8">
        <f t="shared" si="113"/>
        <v>5292.2746666666671</v>
      </c>
      <c r="F306" s="8">
        <f t="shared" si="113"/>
        <v>4029.2746666666667</v>
      </c>
      <c r="G306" s="8">
        <f t="shared" si="113"/>
        <v>3806.2466666666674</v>
      </c>
      <c r="H306" s="8">
        <f t="shared" si="113"/>
        <v>3706.2466666666674</v>
      </c>
      <c r="I306" s="8">
        <f t="shared" si="113"/>
        <v>3706.2466666666674</v>
      </c>
      <c r="J306" s="8">
        <f t="shared" si="113"/>
        <v>3318.2466666666669</v>
      </c>
      <c r="K306" s="8">
        <f t="shared" si="113"/>
        <v>3318.2466666666669</v>
      </c>
      <c r="L306" s="8">
        <f t="shared" si="113"/>
        <v>2668.2466666666669</v>
      </c>
      <c r="M306" s="8">
        <f t="shared" si="113"/>
        <v>2668.2466666666669</v>
      </c>
      <c r="N306" s="8">
        <f t="shared" si="113"/>
        <v>48390.1</v>
      </c>
      <c r="O306" s="9">
        <f>N306/$N$2*100</f>
        <v>2.450597978323005</v>
      </c>
    </row>
    <row r="307" spans="1:15" x14ac:dyDescent="0.25">
      <c r="A307" s="13" t="s">
        <v>151</v>
      </c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>
        <f>SUM(B307:M307)</f>
        <v>0</v>
      </c>
      <c r="O307" s="15">
        <f t="shared" ref="O307:O323" si="114">N307/$N$2*100</f>
        <v>0</v>
      </c>
    </row>
    <row r="308" spans="1:15" ht="30" x14ac:dyDescent="0.25">
      <c r="A308" s="13" t="s">
        <v>152</v>
      </c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>
        <f t="shared" ref="N308:N313" si="115">SUM(B308:M308)</f>
        <v>0</v>
      </c>
      <c r="O308" s="15">
        <f t="shared" si="114"/>
        <v>0</v>
      </c>
    </row>
    <row r="309" spans="1:15" ht="30" x14ac:dyDescent="0.25">
      <c r="A309" s="13" t="s">
        <v>153</v>
      </c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>
        <f t="shared" si="115"/>
        <v>0</v>
      </c>
      <c r="O309" s="15">
        <f t="shared" si="114"/>
        <v>0</v>
      </c>
    </row>
    <row r="310" spans="1:15" ht="60" x14ac:dyDescent="0.25">
      <c r="A310" s="13" t="s">
        <v>154</v>
      </c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>
        <f t="shared" si="115"/>
        <v>0</v>
      </c>
      <c r="O310" s="15">
        <f t="shared" si="114"/>
        <v>0</v>
      </c>
    </row>
    <row r="311" spans="1:15" ht="30" x14ac:dyDescent="0.25">
      <c r="A311" s="13" t="s">
        <v>155</v>
      </c>
      <c r="B311" s="14">
        <f t="shared" ref="B311:M311" si="116">10000/12</f>
        <v>833.33333333333337</v>
      </c>
      <c r="C311" s="14">
        <f t="shared" si="116"/>
        <v>833.33333333333337</v>
      </c>
      <c r="D311" s="14">
        <f t="shared" si="116"/>
        <v>833.33333333333337</v>
      </c>
      <c r="E311" s="14">
        <f t="shared" si="116"/>
        <v>833.33333333333337</v>
      </c>
      <c r="F311" s="14">
        <f t="shared" si="116"/>
        <v>833.33333333333337</v>
      </c>
      <c r="G311" s="14">
        <f t="shared" si="116"/>
        <v>833.33333333333337</v>
      </c>
      <c r="H311" s="14">
        <f t="shared" si="116"/>
        <v>833.33333333333337</v>
      </c>
      <c r="I311" s="14">
        <f t="shared" si="116"/>
        <v>833.33333333333337</v>
      </c>
      <c r="J311" s="14">
        <f t="shared" si="116"/>
        <v>833.33333333333337</v>
      </c>
      <c r="K311" s="14">
        <f t="shared" si="116"/>
        <v>833.33333333333337</v>
      </c>
      <c r="L311" s="14">
        <f t="shared" si="116"/>
        <v>833.33333333333337</v>
      </c>
      <c r="M311" s="14">
        <f t="shared" si="116"/>
        <v>833.33333333333337</v>
      </c>
      <c r="N311" s="14">
        <f t="shared" si="115"/>
        <v>10000</v>
      </c>
      <c r="O311" s="15">
        <f t="shared" si="114"/>
        <v>0.50642548337841942</v>
      </c>
    </row>
    <row r="312" spans="1:15" ht="45" x14ac:dyDescent="0.25">
      <c r="A312" s="13" t="s">
        <v>156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>
        <f t="shared" si="115"/>
        <v>0</v>
      </c>
      <c r="O312" s="15">
        <f t="shared" si="114"/>
        <v>0</v>
      </c>
    </row>
    <row r="313" spans="1:15" ht="45" x14ac:dyDescent="0.25">
      <c r="A313" s="13" t="s">
        <v>157</v>
      </c>
      <c r="B313" s="14">
        <f>[1]previsão_fluxomensal!F27*2%</f>
        <v>4458.9413333333341</v>
      </c>
      <c r="C313" s="14">
        <f>[1]previsão_fluxomensal!G27*2%</f>
        <v>4458.9413333333341</v>
      </c>
      <c r="D313" s="14">
        <f>[1]previsão_fluxomensal!H27*2%</f>
        <v>4458.9413333333341</v>
      </c>
      <c r="E313" s="14">
        <f>[1]previsão_fluxomensal!I27*2%</f>
        <v>4458.9413333333341</v>
      </c>
      <c r="F313" s="14">
        <f>[1]previsão_fluxomensal!J27*2%</f>
        <v>3195.9413333333332</v>
      </c>
      <c r="G313" s="14">
        <f>[1]previsão_fluxomensal!K27*2%</f>
        <v>2972.9133333333339</v>
      </c>
      <c r="H313" s="14">
        <f>[1]previsão_fluxomensal!L27*2%</f>
        <v>2872.9133333333339</v>
      </c>
      <c r="I313" s="14">
        <f>[1]previsão_fluxomensal!M27*2%</f>
        <v>2872.9133333333339</v>
      </c>
      <c r="J313" s="14">
        <f>[1]previsão_fluxomensal!N27*2%</f>
        <v>2484.9133333333334</v>
      </c>
      <c r="K313" s="14">
        <f>[1]previsão_fluxomensal!O27*2%</f>
        <v>2484.9133333333334</v>
      </c>
      <c r="L313" s="14">
        <f>[1]previsão_fluxomensal!P27*2%</f>
        <v>1834.9133333333334</v>
      </c>
      <c r="M313" s="14">
        <f>[1]previsão_fluxomensal!Q27*2%</f>
        <v>1834.9133333333334</v>
      </c>
      <c r="N313" s="14">
        <f t="shared" si="115"/>
        <v>38390.1</v>
      </c>
      <c r="O313" s="15">
        <f t="shared" si="114"/>
        <v>1.944172494944586</v>
      </c>
    </row>
    <row r="314" spans="1:15" ht="45" x14ac:dyDescent="0.25">
      <c r="A314" s="7" t="s">
        <v>158</v>
      </c>
      <c r="B314" s="8">
        <f>SUM(B316:B323,B325:B332,B334:B341,B343:B350,B363:B367,B361)</f>
        <v>1605.2666666666667</v>
      </c>
      <c r="C314" s="8">
        <f t="shared" ref="C314:N314" si="117">SUM(C316:C323,C325:C332,C334:C341,C343:C350,C363:C367,C361)</f>
        <v>166.66666666666666</v>
      </c>
      <c r="D314" s="8">
        <f t="shared" si="117"/>
        <v>1666.6666666666667</v>
      </c>
      <c r="E314" s="8">
        <f t="shared" si="117"/>
        <v>1666.6666666666667</v>
      </c>
      <c r="F314" s="8">
        <f t="shared" si="117"/>
        <v>166.66666666666666</v>
      </c>
      <c r="G314" s="8">
        <f t="shared" si="117"/>
        <v>166.66666666666666</v>
      </c>
      <c r="H314" s="8">
        <f t="shared" si="117"/>
        <v>354.26666666666665</v>
      </c>
      <c r="I314" s="8">
        <f t="shared" si="117"/>
        <v>1886.6666666666667</v>
      </c>
      <c r="J314" s="8">
        <f t="shared" si="117"/>
        <v>1886.6666666666667</v>
      </c>
      <c r="K314" s="8">
        <f t="shared" si="117"/>
        <v>1886.6666666666667</v>
      </c>
      <c r="L314" s="8">
        <f t="shared" si="117"/>
        <v>166.66666666666666</v>
      </c>
      <c r="M314" s="8">
        <f t="shared" si="117"/>
        <v>354.26666666666665</v>
      </c>
      <c r="N314" s="8">
        <f t="shared" si="117"/>
        <v>11973.800000000001</v>
      </c>
      <c r="O314" s="9">
        <f t="shared" si="114"/>
        <v>0.60638374528765193</v>
      </c>
    </row>
    <row r="315" spans="1:15" ht="30" x14ac:dyDescent="0.25">
      <c r="A315" s="10" t="s">
        <v>159</v>
      </c>
      <c r="B315" s="11">
        <f>SUM(B316:B323,B325:B332,B334:B341,B343:B350,B352:B359,B361,B363:B367)</f>
        <v>1605.2666666666667</v>
      </c>
      <c r="C315" s="11">
        <f t="shared" ref="C315:N315" si="118">SUM(C316:C323,C325:C332,C334:C341,C343:C350,C352:C359,C361,C363:C367)</f>
        <v>166.66666666666666</v>
      </c>
      <c r="D315" s="11">
        <f t="shared" si="118"/>
        <v>1666.6666666666667</v>
      </c>
      <c r="E315" s="11">
        <f t="shared" si="118"/>
        <v>1666.6666666666667</v>
      </c>
      <c r="F315" s="11">
        <f t="shared" si="118"/>
        <v>166.66666666666666</v>
      </c>
      <c r="G315" s="11">
        <f t="shared" si="118"/>
        <v>166.66666666666666</v>
      </c>
      <c r="H315" s="11">
        <f t="shared" si="118"/>
        <v>354.26666666666665</v>
      </c>
      <c r="I315" s="11">
        <f t="shared" si="118"/>
        <v>1886.6666666666667</v>
      </c>
      <c r="J315" s="11">
        <f t="shared" si="118"/>
        <v>1886.6666666666667</v>
      </c>
      <c r="K315" s="11">
        <f t="shared" si="118"/>
        <v>2101.6666666666665</v>
      </c>
      <c r="L315" s="11">
        <f t="shared" si="118"/>
        <v>1886.6666666666667</v>
      </c>
      <c r="M315" s="11">
        <f t="shared" si="118"/>
        <v>354.26666666666665</v>
      </c>
      <c r="N315" s="11">
        <f t="shared" si="118"/>
        <v>13908.800000000001</v>
      </c>
      <c r="O315" s="12">
        <f t="shared" si="114"/>
        <v>0.70437707632137614</v>
      </c>
    </row>
    <row r="316" spans="1:15" x14ac:dyDescent="0.25">
      <c r="A316" s="19" t="s">
        <v>45</v>
      </c>
      <c r="B316" s="20">
        <f>((66.4)*2+(27.4)*3)</f>
        <v>215</v>
      </c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>
        <f t="shared" si="90"/>
        <v>215</v>
      </c>
      <c r="O316" s="21">
        <f t="shared" si="114"/>
        <v>1.0888147892636018E-2</v>
      </c>
    </row>
    <row r="317" spans="1:15" x14ac:dyDescent="0.25">
      <c r="A317" s="19" t="s">
        <v>46</v>
      </c>
      <c r="B317" s="20">
        <f t="shared" ref="B317:B323" si="119">((66.4)*2+(27.4)*3)</f>
        <v>215</v>
      </c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>
        <f t="shared" si="90"/>
        <v>215</v>
      </c>
      <c r="O317" s="21">
        <f t="shared" si="114"/>
        <v>1.0888147892636018E-2</v>
      </c>
    </row>
    <row r="318" spans="1:15" x14ac:dyDescent="0.25">
      <c r="A318" s="19" t="s">
        <v>47</v>
      </c>
      <c r="B318" s="20">
        <f t="shared" si="119"/>
        <v>215</v>
      </c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>
        <f t="shared" si="90"/>
        <v>215</v>
      </c>
      <c r="O318" s="21">
        <f t="shared" si="114"/>
        <v>1.0888147892636018E-2</v>
      </c>
    </row>
    <row r="319" spans="1:15" x14ac:dyDescent="0.25">
      <c r="A319" s="19" t="s">
        <v>48</v>
      </c>
      <c r="B319" s="20">
        <f t="shared" si="119"/>
        <v>215</v>
      </c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>
        <f t="shared" si="90"/>
        <v>215</v>
      </c>
      <c r="O319" s="21">
        <f t="shared" si="114"/>
        <v>1.0888147892636018E-2</v>
      </c>
    </row>
    <row r="320" spans="1:15" x14ac:dyDescent="0.25">
      <c r="A320" s="19" t="s">
        <v>160</v>
      </c>
      <c r="B320" s="20">
        <f t="shared" si="119"/>
        <v>215</v>
      </c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>
        <f t="shared" si="90"/>
        <v>215</v>
      </c>
      <c r="O320" s="21">
        <f t="shared" si="114"/>
        <v>1.0888147892636018E-2</v>
      </c>
    </row>
    <row r="321" spans="1:15" x14ac:dyDescent="0.25">
      <c r="A321" s="19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1"/>
    </row>
    <row r="322" spans="1:15" x14ac:dyDescent="0.25">
      <c r="A322" s="19" t="s">
        <v>51</v>
      </c>
      <c r="B322" s="20">
        <f>((66.4)*1+(27.4)*3)</f>
        <v>148.6</v>
      </c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>
        <f t="shared" si="90"/>
        <v>148.6</v>
      </c>
      <c r="O322" s="21">
        <f t="shared" si="114"/>
        <v>7.5254826830033119E-3</v>
      </c>
    </row>
    <row r="323" spans="1:15" x14ac:dyDescent="0.25">
      <c r="A323" s="19" t="s">
        <v>52</v>
      </c>
      <c r="B323" s="20">
        <f t="shared" si="119"/>
        <v>215</v>
      </c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>
        <f t="shared" si="90"/>
        <v>215</v>
      </c>
      <c r="O323" s="21">
        <f t="shared" si="114"/>
        <v>1.0888147892636018E-2</v>
      </c>
    </row>
    <row r="324" spans="1:15" ht="30" x14ac:dyDescent="0.25">
      <c r="A324" s="10" t="s">
        <v>161</v>
      </c>
      <c r="B324" s="11">
        <f>SUM(B325:B332)</f>
        <v>0</v>
      </c>
      <c r="C324" s="11">
        <f t="shared" ref="C324:N324" si="120">SUM(C325:C332)</f>
        <v>0</v>
      </c>
      <c r="D324" s="11">
        <f t="shared" si="120"/>
        <v>0</v>
      </c>
      <c r="E324" s="11">
        <f t="shared" si="120"/>
        <v>0</v>
      </c>
      <c r="F324" s="11">
        <f t="shared" si="120"/>
        <v>0</v>
      </c>
      <c r="G324" s="11">
        <f t="shared" si="120"/>
        <v>0</v>
      </c>
      <c r="H324" s="11">
        <f t="shared" si="120"/>
        <v>0</v>
      </c>
      <c r="I324" s="11">
        <f t="shared" si="120"/>
        <v>1720</v>
      </c>
      <c r="J324" s="11">
        <f t="shared" si="120"/>
        <v>0</v>
      </c>
      <c r="K324" s="11">
        <f t="shared" si="120"/>
        <v>0</v>
      </c>
      <c r="L324" s="11">
        <f t="shared" si="120"/>
        <v>0</v>
      </c>
      <c r="M324" s="11">
        <f t="shared" si="120"/>
        <v>0</v>
      </c>
      <c r="N324" s="11">
        <f t="shared" si="120"/>
        <v>1720</v>
      </c>
      <c r="O324" s="12">
        <f>N324/$N$2*100</f>
        <v>8.7105183141088144E-2</v>
      </c>
    </row>
    <row r="325" spans="1:15" x14ac:dyDescent="0.25">
      <c r="A325" s="19" t="s">
        <v>45</v>
      </c>
      <c r="B325" s="20"/>
      <c r="C325" s="20"/>
      <c r="D325" s="20"/>
      <c r="E325" s="20"/>
      <c r="F325" s="20"/>
      <c r="G325" s="20"/>
      <c r="H325" s="20"/>
      <c r="I325" s="20">
        <f>((66.4)*2+(27.4)*3)</f>
        <v>215</v>
      </c>
      <c r="J325" s="20"/>
      <c r="K325" s="20"/>
      <c r="L325" s="20"/>
      <c r="M325" s="20"/>
      <c r="N325" s="20">
        <f t="shared" si="90"/>
        <v>215</v>
      </c>
      <c r="O325" s="21">
        <f t="shared" ref="O325:O332" si="121">N325/$N$2*100</f>
        <v>1.0888147892636018E-2</v>
      </c>
    </row>
    <row r="326" spans="1:15" x14ac:dyDescent="0.25">
      <c r="A326" s="19" t="s">
        <v>46</v>
      </c>
      <c r="B326" s="20"/>
      <c r="C326" s="20"/>
      <c r="D326" s="20"/>
      <c r="E326" s="20"/>
      <c r="F326" s="20"/>
      <c r="G326" s="20"/>
      <c r="H326" s="20"/>
      <c r="I326" s="20">
        <f t="shared" ref="I326:I332" si="122">((66.4)*2+(27.4)*3)</f>
        <v>215</v>
      </c>
      <c r="J326" s="20"/>
      <c r="K326" s="20"/>
      <c r="L326" s="20"/>
      <c r="M326" s="20"/>
      <c r="N326" s="20">
        <f t="shared" si="90"/>
        <v>215</v>
      </c>
      <c r="O326" s="21">
        <f t="shared" si="121"/>
        <v>1.0888147892636018E-2</v>
      </c>
    </row>
    <row r="327" spans="1:15" x14ac:dyDescent="0.25">
      <c r="A327" s="19" t="s">
        <v>47</v>
      </c>
      <c r="B327" s="20"/>
      <c r="C327" s="20"/>
      <c r="D327" s="20"/>
      <c r="E327" s="20"/>
      <c r="F327" s="20"/>
      <c r="G327" s="20"/>
      <c r="H327" s="20"/>
      <c r="I327" s="20">
        <f t="shared" si="122"/>
        <v>215</v>
      </c>
      <c r="J327" s="20"/>
      <c r="K327" s="20"/>
      <c r="L327" s="20"/>
      <c r="M327" s="20"/>
      <c r="N327" s="20">
        <f t="shared" si="90"/>
        <v>215</v>
      </c>
      <c r="O327" s="21">
        <f t="shared" si="121"/>
        <v>1.0888147892636018E-2</v>
      </c>
    </row>
    <row r="328" spans="1:15" x14ac:dyDescent="0.25">
      <c r="A328" s="19" t="s">
        <v>48</v>
      </c>
      <c r="B328" s="20"/>
      <c r="C328" s="20"/>
      <c r="D328" s="20"/>
      <c r="E328" s="20"/>
      <c r="F328" s="20"/>
      <c r="G328" s="20"/>
      <c r="H328" s="20"/>
      <c r="I328" s="20">
        <f t="shared" si="122"/>
        <v>215</v>
      </c>
      <c r="J328" s="20"/>
      <c r="K328" s="20"/>
      <c r="L328" s="20"/>
      <c r="M328" s="20"/>
      <c r="N328" s="20">
        <f t="shared" si="90"/>
        <v>215</v>
      </c>
      <c r="O328" s="21">
        <f t="shared" si="121"/>
        <v>1.0888147892636018E-2</v>
      </c>
    </row>
    <row r="329" spans="1:15" x14ac:dyDescent="0.25">
      <c r="A329" s="19" t="s">
        <v>49</v>
      </c>
      <c r="B329" s="20"/>
      <c r="C329" s="20"/>
      <c r="D329" s="20"/>
      <c r="E329" s="20"/>
      <c r="F329" s="20"/>
      <c r="G329" s="20"/>
      <c r="H329" s="20"/>
      <c r="I329" s="20">
        <f t="shared" si="122"/>
        <v>215</v>
      </c>
      <c r="J329" s="20"/>
      <c r="K329" s="20"/>
      <c r="L329" s="20"/>
      <c r="M329" s="20"/>
      <c r="N329" s="20">
        <f t="shared" si="90"/>
        <v>215</v>
      </c>
      <c r="O329" s="21">
        <f t="shared" si="121"/>
        <v>1.0888147892636018E-2</v>
      </c>
    </row>
    <row r="330" spans="1:15" x14ac:dyDescent="0.25">
      <c r="A330" s="19" t="s">
        <v>50</v>
      </c>
      <c r="B330" s="20"/>
      <c r="C330" s="20"/>
      <c r="D330" s="20"/>
      <c r="E330" s="20"/>
      <c r="F330" s="20"/>
      <c r="G330" s="20"/>
      <c r="H330" s="20"/>
      <c r="I330" s="20">
        <f t="shared" si="122"/>
        <v>215</v>
      </c>
      <c r="J330" s="20"/>
      <c r="K330" s="20"/>
      <c r="L330" s="20"/>
      <c r="M330" s="20"/>
      <c r="N330" s="20">
        <f t="shared" si="90"/>
        <v>215</v>
      </c>
      <c r="O330" s="21">
        <f t="shared" si="121"/>
        <v>1.0888147892636018E-2</v>
      </c>
    </row>
    <row r="331" spans="1:15" x14ac:dyDescent="0.25">
      <c r="A331" s="19" t="s">
        <v>51</v>
      </c>
      <c r="B331" s="20"/>
      <c r="C331" s="20"/>
      <c r="D331" s="20"/>
      <c r="E331" s="20"/>
      <c r="F331" s="20"/>
      <c r="G331" s="20"/>
      <c r="H331" s="20"/>
      <c r="I331" s="20">
        <f t="shared" si="122"/>
        <v>215</v>
      </c>
      <c r="J331" s="20"/>
      <c r="K331" s="20"/>
      <c r="L331" s="20"/>
      <c r="M331" s="20"/>
      <c r="N331" s="20">
        <f t="shared" si="90"/>
        <v>215</v>
      </c>
      <c r="O331" s="21">
        <f t="shared" si="121"/>
        <v>1.0888147892636018E-2</v>
      </c>
    </row>
    <row r="332" spans="1:15" x14ac:dyDescent="0.25">
      <c r="A332" s="19" t="s">
        <v>52</v>
      </c>
      <c r="B332" s="20"/>
      <c r="C332" s="20"/>
      <c r="D332" s="20"/>
      <c r="E332" s="20"/>
      <c r="F332" s="20"/>
      <c r="G332" s="20"/>
      <c r="H332" s="20"/>
      <c r="I332" s="20">
        <f t="shared" si="122"/>
        <v>215</v>
      </c>
      <c r="J332" s="20"/>
      <c r="K332" s="20"/>
      <c r="L332" s="20"/>
      <c r="M332" s="20"/>
      <c r="N332" s="20">
        <f t="shared" si="90"/>
        <v>215</v>
      </c>
      <c r="O332" s="21">
        <f t="shared" si="121"/>
        <v>1.0888147892636018E-2</v>
      </c>
    </row>
    <row r="333" spans="1:15" ht="30" x14ac:dyDescent="0.25">
      <c r="A333" s="10" t="s">
        <v>162</v>
      </c>
      <c r="B333" s="11">
        <f>SUM(B334:B341)</f>
        <v>0</v>
      </c>
      <c r="C333" s="11">
        <f t="shared" ref="C333:N333" si="123">SUM(C334:C341)</f>
        <v>0</v>
      </c>
      <c r="D333" s="11">
        <f t="shared" si="123"/>
        <v>0</v>
      </c>
      <c r="E333" s="11">
        <f t="shared" si="123"/>
        <v>0</v>
      </c>
      <c r="F333" s="11">
        <f t="shared" si="123"/>
        <v>0</v>
      </c>
      <c r="G333" s="11">
        <f t="shared" si="123"/>
        <v>0</v>
      </c>
      <c r="H333" s="11">
        <f t="shared" si="123"/>
        <v>0</v>
      </c>
      <c r="I333" s="11">
        <f t="shared" si="123"/>
        <v>0</v>
      </c>
      <c r="J333" s="11">
        <f t="shared" si="123"/>
        <v>1720</v>
      </c>
      <c r="K333" s="11">
        <f t="shared" si="123"/>
        <v>0</v>
      </c>
      <c r="L333" s="11">
        <f t="shared" si="123"/>
        <v>0</v>
      </c>
      <c r="M333" s="11">
        <f t="shared" si="123"/>
        <v>0</v>
      </c>
      <c r="N333" s="11">
        <f t="shared" si="123"/>
        <v>1720</v>
      </c>
      <c r="O333" s="12">
        <f>N333/$N$2*100</f>
        <v>8.7105183141088144E-2</v>
      </c>
    </row>
    <row r="334" spans="1:15" x14ac:dyDescent="0.25">
      <c r="A334" s="19" t="s">
        <v>45</v>
      </c>
      <c r="B334" s="20"/>
      <c r="C334" s="20"/>
      <c r="D334" s="20"/>
      <c r="E334" s="20"/>
      <c r="F334" s="20"/>
      <c r="G334" s="20"/>
      <c r="H334" s="20"/>
      <c r="I334" s="20"/>
      <c r="J334" s="20">
        <f>((66.4)*2+(27.4)*3)</f>
        <v>215</v>
      </c>
      <c r="K334" s="20"/>
      <c r="L334" s="20"/>
      <c r="M334" s="20"/>
      <c r="N334" s="20">
        <f t="shared" si="90"/>
        <v>215</v>
      </c>
      <c r="O334" s="21">
        <f t="shared" ref="O334:O341" si="124">N334/$N$2*100</f>
        <v>1.0888147892636018E-2</v>
      </c>
    </row>
    <row r="335" spans="1:15" x14ac:dyDescent="0.25">
      <c r="A335" s="19" t="s">
        <v>46</v>
      </c>
      <c r="B335" s="20"/>
      <c r="C335" s="20"/>
      <c r="D335" s="20"/>
      <c r="E335" s="20"/>
      <c r="F335" s="20"/>
      <c r="G335" s="20"/>
      <c r="H335" s="20"/>
      <c r="I335" s="20"/>
      <c r="J335" s="20">
        <f t="shared" ref="J335:J341" si="125">((66.4)*2+(27.4)*3)</f>
        <v>215</v>
      </c>
      <c r="K335" s="20"/>
      <c r="L335" s="20"/>
      <c r="M335" s="20"/>
      <c r="N335" s="20">
        <f t="shared" si="90"/>
        <v>215</v>
      </c>
      <c r="O335" s="21">
        <f t="shared" si="124"/>
        <v>1.0888147892636018E-2</v>
      </c>
    </row>
    <row r="336" spans="1:15" x14ac:dyDescent="0.25">
      <c r="A336" s="19" t="s">
        <v>47</v>
      </c>
      <c r="B336" s="20"/>
      <c r="C336" s="20"/>
      <c r="D336" s="20"/>
      <c r="E336" s="20"/>
      <c r="F336" s="20"/>
      <c r="G336" s="20"/>
      <c r="H336" s="20"/>
      <c r="I336" s="20"/>
      <c r="J336" s="20">
        <f t="shared" si="125"/>
        <v>215</v>
      </c>
      <c r="K336" s="20"/>
      <c r="L336" s="20"/>
      <c r="M336" s="20"/>
      <c r="N336" s="20">
        <f t="shared" si="90"/>
        <v>215</v>
      </c>
      <c r="O336" s="21">
        <f t="shared" si="124"/>
        <v>1.0888147892636018E-2</v>
      </c>
    </row>
    <row r="337" spans="1:15" x14ac:dyDescent="0.25">
      <c r="A337" s="19" t="s">
        <v>48</v>
      </c>
      <c r="B337" s="20"/>
      <c r="C337" s="20"/>
      <c r="D337" s="20"/>
      <c r="E337" s="20"/>
      <c r="F337" s="20"/>
      <c r="G337" s="20"/>
      <c r="H337" s="20"/>
      <c r="I337" s="20"/>
      <c r="J337" s="20">
        <f t="shared" si="125"/>
        <v>215</v>
      </c>
      <c r="K337" s="20"/>
      <c r="L337" s="20"/>
      <c r="M337" s="20"/>
      <c r="N337" s="20">
        <f t="shared" si="90"/>
        <v>215</v>
      </c>
      <c r="O337" s="21">
        <f t="shared" si="124"/>
        <v>1.0888147892636018E-2</v>
      </c>
    </row>
    <row r="338" spans="1:15" x14ac:dyDescent="0.25">
      <c r="A338" s="19" t="s">
        <v>49</v>
      </c>
      <c r="B338" s="20"/>
      <c r="C338" s="20"/>
      <c r="D338" s="20"/>
      <c r="E338" s="20"/>
      <c r="F338" s="20"/>
      <c r="G338" s="20"/>
      <c r="H338" s="20"/>
      <c r="I338" s="20"/>
      <c r="J338" s="20">
        <f t="shared" si="125"/>
        <v>215</v>
      </c>
      <c r="K338" s="20"/>
      <c r="L338" s="20"/>
      <c r="M338" s="20"/>
      <c r="N338" s="20">
        <f t="shared" si="90"/>
        <v>215</v>
      </c>
      <c r="O338" s="21">
        <f t="shared" si="124"/>
        <v>1.0888147892636018E-2</v>
      </c>
    </row>
    <row r="339" spans="1:15" x14ac:dyDescent="0.25">
      <c r="A339" s="19" t="s">
        <v>50</v>
      </c>
      <c r="B339" s="20"/>
      <c r="C339" s="20"/>
      <c r="D339" s="20"/>
      <c r="E339" s="20"/>
      <c r="F339" s="20"/>
      <c r="G339" s="20"/>
      <c r="H339" s="20"/>
      <c r="I339" s="20"/>
      <c r="J339" s="20">
        <f t="shared" si="125"/>
        <v>215</v>
      </c>
      <c r="K339" s="20"/>
      <c r="L339" s="20"/>
      <c r="M339" s="20"/>
      <c r="N339" s="20">
        <f t="shared" si="90"/>
        <v>215</v>
      </c>
      <c r="O339" s="21">
        <f t="shared" si="124"/>
        <v>1.0888147892636018E-2</v>
      </c>
    </row>
    <row r="340" spans="1:15" x14ac:dyDescent="0.25">
      <c r="A340" s="19" t="s">
        <v>51</v>
      </c>
      <c r="B340" s="20"/>
      <c r="C340" s="20"/>
      <c r="D340" s="20"/>
      <c r="E340" s="20"/>
      <c r="F340" s="20"/>
      <c r="G340" s="20"/>
      <c r="H340" s="20"/>
      <c r="I340" s="20"/>
      <c r="J340" s="20">
        <f t="shared" si="125"/>
        <v>215</v>
      </c>
      <c r="K340" s="20"/>
      <c r="L340" s="20"/>
      <c r="M340" s="20"/>
      <c r="N340" s="20">
        <f t="shared" si="90"/>
        <v>215</v>
      </c>
      <c r="O340" s="21">
        <f t="shared" si="124"/>
        <v>1.0888147892636018E-2</v>
      </c>
    </row>
    <row r="341" spans="1:15" x14ac:dyDescent="0.25">
      <c r="A341" s="19" t="s">
        <v>52</v>
      </c>
      <c r="B341" s="20"/>
      <c r="C341" s="20"/>
      <c r="D341" s="20"/>
      <c r="E341" s="20"/>
      <c r="F341" s="20"/>
      <c r="G341" s="20"/>
      <c r="H341" s="20"/>
      <c r="I341" s="20"/>
      <c r="J341" s="20">
        <f t="shared" si="125"/>
        <v>215</v>
      </c>
      <c r="K341" s="20"/>
      <c r="L341" s="20"/>
      <c r="M341" s="20"/>
      <c r="N341" s="20">
        <f t="shared" si="90"/>
        <v>215</v>
      </c>
      <c r="O341" s="21">
        <f t="shared" si="124"/>
        <v>1.0888147892636018E-2</v>
      </c>
    </row>
    <row r="342" spans="1:15" ht="30" x14ac:dyDescent="0.25">
      <c r="A342" s="10" t="s">
        <v>163</v>
      </c>
      <c r="B342" s="11">
        <f>SUM(B343:B350)</f>
        <v>0</v>
      </c>
      <c r="C342" s="11">
        <f t="shared" ref="C342:N342" si="126">SUM(C343:C350)</f>
        <v>0</v>
      </c>
      <c r="D342" s="11">
        <f t="shared" si="126"/>
        <v>0</v>
      </c>
      <c r="E342" s="11">
        <f t="shared" si="126"/>
        <v>0</v>
      </c>
      <c r="F342" s="11">
        <f t="shared" si="126"/>
        <v>0</v>
      </c>
      <c r="G342" s="11">
        <f t="shared" si="126"/>
        <v>0</v>
      </c>
      <c r="H342" s="11">
        <f t="shared" si="126"/>
        <v>0</v>
      </c>
      <c r="I342" s="11">
        <f t="shared" si="126"/>
        <v>0</v>
      </c>
      <c r="J342" s="11">
        <f t="shared" si="126"/>
        <v>0</v>
      </c>
      <c r="K342" s="11">
        <f t="shared" si="126"/>
        <v>1720</v>
      </c>
      <c r="L342" s="11">
        <f t="shared" si="126"/>
        <v>0</v>
      </c>
      <c r="M342" s="11">
        <f t="shared" si="126"/>
        <v>0</v>
      </c>
      <c r="N342" s="11">
        <f t="shared" si="126"/>
        <v>1720</v>
      </c>
      <c r="O342" s="12">
        <f>N342/$N$2*100</f>
        <v>8.7105183141088144E-2</v>
      </c>
    </row>
    <row r="343" spans="1:15" x14ac:dyDescent="0.25">
      <c r="A343" s="19" t="s">
        <v>45</v>
      </c>
      <c r="B343" s="20"/>
      <c r="C343" s="20"/>
      <c r="D343" s="20"/>
      <c r="E343" s="20"/>
      <c r="F343" s="20"/>
      <c r="G343" s="20"/>
      <c r="H343" s="20"/>
      <c r="I343" s="20"/>
      <c r="J343" s="20"/>
      <c r="K343" s="20">
        <f>((66.4)*2+(27.4)*3)</f>
        <v>215</v>
      </c>
      <c r="L343" s="20"/>
      <c r="M343" s="20"/>
      <c r="N343" s="20">
        <f t="shared" si="90"/>
        <v>215</v>
      </c>
      <c r="O343" s="21">
        <f t="shared" ref="O343:O350" si="127">N343/$N$2*100</f>
        <v>1.0888147892636018E-2</v>
      </c>
    </row>
    <row r="344" spans="1:15" x14ac:dyDescent="0.25">
      <c r="A344" s="19" t="s">
        <v>46</v>
      </c>
      <c r="B344" s="20"/>
      <c r="C344" s="20"/>
      <c r="D344" s="20"/>
      <c r="E344" s="20"/>
      <c r="F344" s="20"/>
      <c r="G344" s="20"/>
      <c r="H344" s="20"/>
      <c r="I344" s="20"/>
      <c r="J344" s="20"/>
      <c r="K344" s="20">
        <f t="shared" ref="K344:K350" si="128">((66.4)*2+(27.4)*3)</f>
        <v>215</v>
      </c>
      <c r="L344" s="20"/>
      <c r="M344" s="20"/>
      <c r="N344" s="20">
        <f t="shared" si="90"/>
        <v>215</v>
      </c>
      <c r="O344" s="21">
        <f t="shared" si="127"/>
        <v>1.0888147892636018E-2</v>
      </c>
    </row>
    <row r="345" spans="1:15" x14ac:dyDescent="0.25">
      <c r="A345" s="19" t="s">
        <v>47</v>
      </c>
      <c r="B345" s="20"/>
      <c r="C345" s="20"/>
      <c r="D345" s="20"/>
      <c r="E345" s="20"/>
      <c r="F345" s="20"/>
      <c r="G345" s="20"/>
      <c r="H345" s="20"/>
      <c r="I345" s="20"/>
      <c r="J345" s="20"/>
      <c r="K345" s="20">
        <f t="shared" si="128"/>
        <v>215</v>
      </c>
      <c r="L345" s="20"/>
      <c r="M345" s="20"/>
      <c r="N345" s="20">
        <f t="shared" si="90"/>
        <v>215</v>
      </c>
      <c r="O345" s="21">
        <f t="shared" si="127"/>
        <v>1.0888147892636018E-2</v>
      </c>
    </row>
    <row r="346" spans="1:15" x14ac:dyDescent="0.25">
      <c r="A346" s="19" t="s">
        <v>48</v>
      </c>
      <c r="B346" s="20"/>
      <c r="C346" s="20"/>
      <c r="D346" s="20"/>
      <c r="E346" s="20"/>
      <c r="F346" s="20"/>
      <c r="G346" s="20"/>
      <c r="H346" s="20"/>
      <c r="I346" s="20"/>
      <c r="J346" s="20"/>
      <c r="K346" s="20">
        <f t="shared" si="128"/>
        <v>215</v>
      </c>
      <c r="L346" s="20"/>
      <c r="M346" s="20"/>
      <c r="N346" s="20">
        <f t="shared" si="90"/>
        <v>215</v>
      </c>
      <c r="O346" s="21">
        <f t="shared" si="127"/>
        <v>1.0888147892636018E-2</v>
      </c>
    </row>
    <row r="347" spans="1:15" x14ac:dyDescent="0.25">
      <c r="A347" s="19" t="s">
        <v>49</v>
      </c>
      <c r="B347" s="20"/>
      <c r="C347" s="20"/>
      <c r="D347" s="20"/>
      <c r="E347" s="20"/>
      <c r="F347" s="20"/>
      <c r="G347" s="20"/>
      <c r="H347" s="20"/>
      <c r="I347" s="20"/>
      <c r="J347" s="20"/>
      <c r="K347" s="20">
        <f t="shared" si="128"/>
        <v>215</v>
      </c>
      <c r="L347" s="20"/>
      <c r="M347" s="20"/>
      <c r="N347" s="20">
        <f t="shared" si="90"/>
        <v>215</v>
      </c>
      <c r="O347" s="21">
        <f t="shared" si="127"/>
        <v>1.0888147892636018E-2</v>
      </c>
    </row>
    <row r="348" spans="1:15" x14ac:dyDescent="0.25">
      <c r="A348" s="19" t="s">
        <v>50</v>
      </c>
      <c r="B348" s="20"/>
      <c r="C348" s="20"/>
      <c r="D348" s="20"/>
      <c r="E348" s="20"/>
      <c r="F348" s="20"/>
      <c r="G348" s="20"/>
      <c r="H348" s="20"/>
      <c r="I348" s="20"/>
      <c r="J348" s="20"/>
      <c r="K348" s="20">
        <f t="shared" si="128"/>
        <v>215</v>
      </c>
      <c r="L348" s="20"/>
      <c r="M348" s="20"/>
      <c r="N348" s="20">
        <f t="shared" si="90"/>
        <v>215</v>
      </c>
      <c r="O348" s="21">
        <f t="shared" si="127"/>
        <v>1.0888147892636018E-2</v>
      </c>
    </row>
    <row r="349" spans="1:15" x14ac:dyDescent="0.25">
      <c r="A349" s="19" t="s">
        <v>51</v>
      </c>
      <c r="B349" s="20"/>
      <c r="C349" s="20"/>
      <c r="D349" s="20"/>
      <c r="E349" s="20"/>
      <c r="F349" s="20"/>
      <c r="G349" s="20"/>
      <c r="H349" s="20"/>
      <c r="I349" s="20"/>
      <c r="J349" s="20"/>
      <c r="K349" s="20">
        <f t="shared" si="128"/>
        <v>215</v>
      </c>
      <c r="L349" s="20"/>
      <c r="M349" s="20"/>
      <c r="N349" s="20">
        <f t="shared" si="90"/>
        <v>215</v>
      </c>
      <c r="O349" s="21">
        <f t="shared" si="127"/>
        <v>1.0888147892636018E-2</v>
      </c>
    </row>
    <row r="350" spans="1:15" x14ac:dyDescent="0.25">
      <c r="A350" s="19" t="s">
        <v>52</v>
      </c>
      <c r="B350" s="20"/>
      <c r="C350" s="20"/>
      <c r="D350" s="20"/>
      <c r="E350" s="20"/>
      <c r="F350" s="20"/>
      <c r="G350" s="20"/>
      <c r="H350" s="20"/>
      <c r="I350" s="20"/>
      <c r="J350" s="20"/>
      <c r="K350" s="20">
        <f t="shared" si="128"/>
        <v>215</v>
      </c>
      <c r="L350" s="20"/>
      <c r="M350" s="20"/>
      <c r="N350" s="20">
        <f t="shared" si="90"/>
        <v>215</v>
      </c>
      <c r="O350" s="21">
        <f t="shared" si="127"/>
        <v>1.0888147892636018E-2</v>
      </c>
    </row>
    <row r="351" spans="1:15" ht="30" x14ac:dyDescent="0.25">
      <c r="A351" s="10" t="s">
        <v>164</v>
      </c>
      <c r="B351" s="11">
        <f>SUM(B352:B359)</f>
        <v>0</v>
      </c>
      <c r="C351" s="11">
        <f t="shared" ref="C351:N351" si="129">SUM(C352:C359)</f>
        <v>0</v>
      </c>
      <c r="D351" s="11">
        <f t="shared" si="129"/>
        <v>0</v>
      </c>
      <c r="E351" s="11">
        <f t="shared" si="129"/>
        <v>0</v>
      </c>
      <c r="F351" s="11">
        <f t="shared" si="129"/>
        <v>0</v>
      </c>
      <c r="G351" s="11">
        <f t="shared" si="129"/>
        <v>0</v>
      </c>
      <c r="H351" s="11">
        <f t="shared" si="129"/>
        <v>0</v>
      </c>
      <c r="I351" s="11">
        <f t="shared" si="129"/>
        <v>0</v>
      </c>
      <c r="J351" s="11">
        <f t="shared" si="129"/>
        <v>0</v>
      </c>
      <c r="K351" s="11">
        <f t="shared" si="129"/>
        <v>215</v>
      </c>
      <c r="L351" s="11">
        <f t="shared" si="129"/>
        <v>1720</v>
      </c>
      <c r="M351" s="11">
        <f t="shared" si="129"/>
        <v>0</v>
      </c>
      <c r="N351" s="11">
        <f t="shared" si="129"/>
        <v>1935</v>
      </c>
      <c r="O351" s="12">
        <f>N351/$N$2*100</f>
        <v>9.7993331033724151E-2</v>
      </c>
    </row>
    <row r="352" spans="1:15" x14ac:dyDescent="0.25">
      <c r="A352" s="19" t="s">
        <v>45</v>
      </c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>
        <f>((66.4)*2+(27.4)*3)</f>
        <v>215</v>
      </c>
      <c r="M352" s="20"/>
      <c r="N352" s="20">
        <f t="shared" si="90"/>
        <v>215</v>
      </c>
      <c r="O352" s="21">
        <f t="shared" ref="O352:O359" si="130">N352/$N$2*100</f>
        <v>1.0888147892636018E-2</v>
      </c>
    </row>
    <row r="353" spans="1:15" x14ac:dyDescent="0.25">
      <c r="A353" s="19" t="s">
        <v>46</v>
      </c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>
        <f t="shared" ref="K353:M359" si="131">((66.4)*2+(27.4)*3)</f>
        <v>215</v>
      </c>
      <c r="M353" s="20"/>
      <c r="N353" s="20">
        <f t="shared" si="90"/>
        <v>215</v>
      </c>
      <c r="O353" s="21">
        <f t="shared" si="130"/>
        <v>1.0888147892636018E-2</v>
      </c>
    </row>
    <row r="354" spans="1:15" x14ac:dyDescent="0.25">
      <c r="A354" s="19" t="s">
        <v>47</v>
      </c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>
        <f t="shared" si="131"/>
        <v>215</v>
      </c>
      <c r="M354" s="20"/>
      <c r="N354" s="20">
        <f t="shared" si="90"/>
        <v>215</v>
      </c>
      <c r="O354" s="21">
        <f t="shared" si="130"/>
        <v>1.0888147892636018E-2</v>
      </c>
    </row>
    <row r="355" spans="1:15" x14ac:dyDescent="0.25">
      <c r="A355" s="19" t="s">
        <v>48</v>
      </c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>
        <f t="shared" si="131"/>
        <v>215</v>
      </c>
      <c r="M355" s="20"/>
      <c r="N355" s="20">
        <f t="shared" si="90"/>
        <v>215</v>
      </c>
      <c r="O355" s="21">
        <f t="shared" si="130"/>
        <v>1.0888147892636018E-2</v>
      </c>
    </row>
    <row r="356" spans="1:15" x14ac:dyDescent="0.25">
      <c r="A356" s="19" t="s">
        <v>49</v>
      </c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>
        <f t="shared" si="131"/>
        <v>215</v>
      </c>
      <c r="M356" s="20"/>
      <c r="N356" s="20">
        <f t="shared" si="90"/>
        <v>215</v>
      </c>
      <c r="O356" s="21">
        <f t="shared" si="130"/>
        <v>1.0888147892636018E-2</v>
      </c>
    </row>
    <row r="357" spans="1:15" x14ac:dyDescent="0.25">
      <c r="A357" s="19" t="s">
        <v>50</v>
      </c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>
        <f t="shared" si="131"/>
        <v>215</v>
      </c>
      <c r="M357" s="20"/>
      <c r="N357" s="20">
        <f t="shared" si="90"/>
        <v>215</v>
      </c>
      <c r="O357" s="21">
        <f t="shared" si="130"/>
        <v>1.0888147892636018E-2</v>
      </c>
    </row>
    <row r="358" spans="1:15" x14ac:dyDescent="0.25">
      <c r="A358" s="19" t="s">
        <v>51</v>
      </c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>
        <f t="shared" si="131"/>
        <v>215</v>
      </c>
      <c r="M358" s="20"/>
      <c r="N358" s="20">
        <f t="shared" si="90"/>
        <v>215</v>
      </c>
      <c r="O358" s="21">
        <f t="shared" si="130"/>
        <v>1.0888147892636018E-2</v>
      </c>
    </row>
    <row r="359" spans="1:15" x14ac:dyDescent="0.25">
      <c r="A359" s="19" t="s">
        <v>52</v>
      </c>
      <c r="B359" s="20"/>
      <c r="C359" s="20"/>
      <c r="D359" s="20"/>
      <c r="E359" s="20"/>
      <c r="F359" s="20"/>
      <c r="G359" s="20"/>
      <c r="H359" s="20"/>
      <c r="I359" s="20"/>
      <c r="J359" s="20"/>
      <c r="K359" s="20">
        <f t="shared" si="131"/>
        <v>215</v>
      </c>
      <c r="L359" s="20">
        <f t="shared" si="131"/>
        <v>215</v>
      </c>
      <c r="M359" s="20"/>
      <c r="N359" s="20">
        <f t="shared" si="90"/>
        <v>430</v>
      </c>
      <c r="O359" s="21">
        <f t="shared" si="130"/>
        <v>2.1776295785272036E-2</v>
      </c>
    </row>
    <row r="360" spans="1:15" ht="30" x14ac:dyDescent="0.25">
      <c r="A360" s="10" t="s">
        <v>165</v>
      </c>
      <c r="B360" s="11">
        <f>SUM(B361)</f>
        <v>0</v>
      </c>
      <c r="C360" s="11">
        <f t="shared" ref="C360:N360" si="132">SUM(C361)</f>
        <v>0</v>
      </c>
      <c r="D360" s="11">
        <f t="shared" si="132"/>
        <v>0</v>
      </c>
      <c r="E360" s="11">
        <f t="shared" si="132"/>
        <v>0</v>
      </c>
      <c r="F360" s="11">
        <f t="shared" si="132"/>
        <v>0</v>
      </c>
      <c r="G360" s="11">
        <f t="shared" si="132"/>
        <v>0</v>
      </c>
      <c r="H360" s="11">
        <f t="shared" si="132"/>
        <v>187.60000000000002</v>
      </c>
      <c r="I360" s="11">
        <f t="shared" si="132"/>
        <v>0</v>
      </c>
      <c r="J360" s="11">
        <f t="shared" si="132"/>
        <v>0</v>
      </c>
      <c r="K360" s="11">
        <f t="shared" si="132"/>
        <v>0</v>
      </c>
      <c r="L360" s="11">
        <f t="shared" si="132"/>
        <v>0</v>
      </c>
      <c r="M360" s="11">
        <f t="shared" si="132"/>
        <v>187.60000000000002</v>
      </c>
      <c r="N360" s="11">
        <f t="shared" si="132"/>
        <v>375.20000000000005</v>
      </c>
      <c r="O360" s="12">
        <f>N360/$N$2*100</f>
        <v>1.9001084136358298E-2</v>
      </c>
    </row>
    <row r="361" spans="1:15" x14ac:dyDescent="0.25">
      <c r="A361" s="99" t="s">
        <v>166</v>
      </c>
      <c r="B361" s="100"/>
      <c r="C361" s="100"/>
      <c r="D361" s="100"/>
      <c r="E361" s="100"/>
      <c r="F361" s="100"/>
      <c r="G361" s="100"/>
      <c r="H361" s="101">
        <f>((66.4)+(27.4))*2</f>
        <v>187.60000000000002</v>
      </c>
      <c r="I361" s="100"/>
      <c r="J361" s="102"/>
      <c r="K361" s="102"/>
      <c r="L361" s="102"/>
      <c r="M361" s="101">
        <f>((66.4)+(27.4))*2</f>
        <v>187.60000000000002</v>
      </c>
      <c r="N361" s="20">
        <f>SUM(B361:M361)</f>
        <v>375.20000000000005</v>
      </c>
      <c r="O361" s="21">
        <f>N361/$N$2*100</f>
        <v>1.9001084136358298E-2</v>
      </c>
    </row>
    <row r="362" spans="1:15" x14ac:dyDescent="0.25">
      <c r="A362" s="10" t="s">
        <v>167</v>
      </c>
      <c r="B362" s="11">
        <f>SUM(B363:B367)</f>
        <v>166.66666666666666</v>
      </c>
      <c r="C362" s="11">
        <f t="shared" ref="C362:N362" si="133">SUM(C363:C367)</f>
        <v>166.66666666666666</v>
      </c>
      <c r="D362" s="11">
        <f t="shared" si="133"/>
        <v>1666.6666666666667</v>
      </c>
      <c r="E362" s="11">
        <f t="shared" si="133"/>
        <v>1666.6666666666667</v>
      </c>
      <c r="F362" s="11">
        <f t="shared" si="133"/>
        <v>166.66666666666666</v>
      </c>
      <c r="G362" s="11">
        <f t="shared" si="133"/>
        <v>166.66666666666666</v>
      </c>
      <c r="H362" s="11">
        <f t="shared" si="133"/>
        <v>166.66666666666666</v>
      </c>
      <c r="I362" s="11">
        <f t="shared" si="133"/>
        <v>166.66666666666666</v>
      </c>
      <c r="J362" s="11">
        <f t="shared" si="133"/>
        <v>166.66666666666666</v>
      </c>
      <c r="K362" s="11">
        <f t="shared" si="133"/>
        <v>166.66666666666666</v>
      </c>
      <c r="L362" s="11">
        <f t="shared" si="133"/>
        <v>166.66666666666666</v>
      </c>
      <c r="M362" s="11">
        <f t="shared" si="133"/>
        <v>166.66666666666666</v>
      </c>
      <c r="N362" s="11">
        <f t="shared" si="133"/>
        <v>5000</v>
      </c>
      <c r="O362" s="12">
        <f>N362/$N$2*100</f>
        <v>0.25321274168920971</v>
      </c>
    </row>
    <row r="363" spans="1:15" ht="45" x14ac:dyDescent="0.25">
      <c r="A363" s="99" t="s">
        <v>168</v>
      </c>
      <c r="B363" s="101"/>
      <c r="C363" s="101"/>
      <c r="D363" s="101">
        <v>1500</v>
      </c>
      <c r="E363" s="101">
        <v>1500</v>
      </c>
      <c r="F363" s="101"/>
      <c r="G363" s="101"/>
      <c r="H363" s="101"/>
      <c r="I363" s="101"/>
      <c r="J363" s="101"/>
      <c r="K363" s="101"/>
      <c r="L363" s="101"/>
      <c r="M363" s="101"/>
      <c r="N363" s="20">
        <f t="shared" si="90"/>
        <v>3000</v>
      </c>
      <c r="O363" s="21">
        <f t="shared" ref="O363:O367" si="134">N363/$N$2*100</f>
        <v>0.15192764501352582</v>
      </c>
    </row>
    <row r="364" spans="1:15" ht="30" x14ac:dyDescent="0.25">
      <c r="A364" s="19" t="s">
        <v>169</v>
      </c>
      <c r="B364" s="20">
        <f t="shared" ref="B364:M364" si="135">2000/12</f>
        <v>166.66666666666666</v>
      </c>
      <c r="C364" s="20">
        <f t="shared" si="135"/>
        <v>166.66666666666666</v>
      </c>
      <c r="D364" s="20">
        <f t="shared" si="135"/>
        <v>166.66666666666666</v>
      </c>
      <c r="E364" s="20">
        <f t="shared" si="135"/>
        <v>166.66666666666666</v>
      </c>
      <c r="F364" s="20">
        <f t="shared" si="135"/>
        <v>166.66666666666666</v>
      </c>
      <c r="G364" s="20">
        <f t="shared" si="135"/>
        <v>166.66666666666666</v>
      </c>
      <c r="H364" s="20">
        <f t="shared" si="135"/>
        <v>166.66666666666666</v>
      </c>
      <c r="I364" s="20">
        <f t="shared" si="135"/>
        <v>166.66666666666666</v>
      </c>
      <c r="J364" s="20">
        <f t="shared" si="135"/>
        <v>166.66666666666666</v>
      </c>
      <c r="K364" s="20">
        <f t="shared" si="135"/>
        <v>166.66666666666666</v>
      </c>
      <c r="L364" s="20">
        <f t="shared" si="135"/>
        <v>166.66666666666666</v>
      </c>
      <c r="M364" s="20">
        <f t="shared" si="135"/>
        <v>166.66666666666666</v>
      </c>
      <c r="N364" s="20">
        <f t="shared" si="90"/>
        <v>2000.0000000000002</v>
      </c>
      <c r="O364" s="21">
        <f t="shared" si="134"/>
        <v>0.10128509667568389</v>
      </c>
    </row>
    <row r="365" spans="1:15" x14ac:dyDescent="0.25">
      <c r="A365" s="19" t="s">
        <v>170</v>
      </c>
      <c r="B365" s="20">
        <v>0</v>
      </c>
      <c r="C365" s="20">
        <v>0</v>
      </c>
      <c r="D365" s="20">
        <v>0</v>
      </c>
      <c r="E365" s="20">
        <v>0</v>
      </c>
      <c r="F365" s="20">
        <v>0</v>
      </c>
      <c r="G365" s="20">
        <v>0</v>
      </c>
      <c r="H365" s="20">
        <v>0</v>
      </c>
      <c r="I365" s="20">
        <v>0</v>
      </c>
      <c r="J365" s="20">
        <v>0</v>
      </c>
      <c r="K365" s="20">
        <v>0</v>
      </c>
      <c r="L365" s="20">
        <v>0</v>
      </c>
      <c r="M365" s="20">
        <v>0</v>
      </c>
      <c r="N365" s="20">
        <f t="shared" si="90"/>
        <v>0</v>
      </c>
      <c r="O365" s="21">
        <f t="shared" si="134"/>
        <v>0</v>
      </c>
    </row>
    <row r="366" spans="1:15" ht="30" x14ac:dyDescent="0.25">
      <c r="A366" s="19" t="s">
        <v>171</v>
      </c>
      <c r="B366" s="20">
        <v>0</v>
      </c>
      <c r="C366" s="20">
        <v>0</v>
      </c>
      <c r="D366" s="20">
        <v>0</v>
      </c>
      <c r="E366" s="20">
        <v>0</v>
      </c>
      <c r="F366" s="20">
        <v>0</v>
      </c>
      <c r="G366" s="20">
        <v>0</v>
      </c>
      <c r="H366" s="20">
        <v>0</v>
      </c>
      <c r="I366" s="20">
        <v>0</v>
      </c>
      <c r="J366" s="20">
        <v>0</v>
      </c>
      <c r="K366" s="20">
        <v>0</v>
      </c>
      <c r="L366" s="20">
        <v>0</v>
      </c>
      <c r="M366" s="20">
        <v>0</v>
      </c>
      <c r="N366" s="20">
        <f t="shared" si="90"/>
        <v>0</v>
      </c>
      <c r="O366" s="21">
        <f t="shared" si="134"/>
        <v>0</v>
      </c>
    </row>
    <row r="367" spans="1:15" x14ac:dyDescent="0.25">
      <c r="A367" s="19" t="s">
        <v>172</v>
      </c>
      <c r="B367" s="20">
        <v>0</v>
      </c>
      <c r="C367" s="20">
        <v>0</v>
      </c>
      <c r="D367" s="20">
        <v>0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  <c r="K367" s="20">
        <v>0</v>
      </c>
      <c r="L367" s="20">
        <v>0</v>
      </c>
      <c r="M367" s="20">
        <v>0</v>
      </c>
      <c r="N367" s="20">
        <f t="shared" si="90"/>
        <v>0</v>
      </c>
      <c r="O367" s="21">
        <f t="shared" si="134"/>
        <v>0</v>
      </c>
    </row>
    <row r="368" spans="1:15" x14ac:dyDescent="0.25">
      <c r="A368" s="7" t="s">
        <v>173</v>
      </c>
      <c r="B368" s="8">
        <f>SUM(B369:B373)</f>
        <v>0</v>
      </c>
      <c r="C368" s="8">
        <f t="shared" ref="C368:N368" si="136">SUM(C369:C373)</f>
        <v>0</v>
      </c>
      <c r="D368" s="8">
        <f t="shared" si="136"/>
        <v>0</v>
      </c>
      <c r="E368" s="8">
        <f t="shared" si="136"/>
        <v>333.33333333333331</v>
      </c>
      <c r="F368" s="8">
        <f t="shared" si="136"/>
        <v>333.33333333333331</v>
      </c>
      <c r="G368" s="8">
        <f t="shared" si="136"/>
        <v>1183.3333333333335</v>
      </c>
      <c r="H368" s="8">
        <f t="shared" si="136"/>
        <v>1683.3333333333333</v>
      </c>
      <c r="I368" s="8">
        <f t="shared" si="136"/>
        <v>1683.3333333333333</v>
      </c>
      <c r="J368" s="8">
        <f t="shared" si="136"/>
        <v>1683.3333333333333</v>
      </c>
      <c r="K368" s="8">
        <f t="shared" si="136"/>
        <v>1683.3333333333333</v>
      </c>
      <c r="L368" s="8">
        <f t="shared" si="136"/>
        <v>1683.3333333333333</v>
      </c>
      <c r="M368" s="8">
        <f t="shared" si="136"/>
        <v>1683.3333333333333</v>
      </c>
      <c r="N368" s="8">
        <f t="shared" si="136"/>
        <v>11950</v>
      </c>
      <c r="O368" s="9">
        <f>N368/$N$2*100</f>
        <v>0.60517845263721115</v>
      </c>
    </row>
    <row r="369" spans="1:15" ht="30" x14ac:dyDescent="0.25">
      <c r="A369" s="19" t="s">
        <v>174</v>
      </c>
      <c r="B369" s="20"/>
      <c r="C369" s="20"/>
      <c r="D369" s="20"/>
      <c r="E369" s="20"/>
      <c r="F369" s="20"/>
      <c r="G369" s="20"/>
      <c r="H369" s="20">
        <f t="shared" ref="H369:M369" si="137">((600*5)*2)/12</f>
        <v>500</v>
      </c>
      <c r="I369" s="20">
        <f t="shared" si="137"/>
        <v>500</v>
      </c>
      <c r="J369" s="20">
        <f t="shared" si="137"/>
        <v>500</v>
      </c>
      <c r="K369" s="20">
        <f t="shared" si="137"/>
        <v>500</v>
      </c>
      <c r="L369" s="20">
        <f t="shared" si="137"/>
        <v>500</v>
      </c>
      <c r="M369" s="20">
        <f t="shared" si="137"/>
        <v>500</v>
      </c>
      <c r="N369" s="20">
        <f t="shared" si="90"/>
        <v>3000</v>
      </c>
      <c r="O369" s="21">
        <f t="shared" ref="O369:O373" si="138">N369/$N$2*100</f>
        <v>0.15192764501352582</v>
      </c>
    </row>
    <row r="370" spans="1:15" ht="30" x14ac:dyDescent="0.25">
      <c r="A370" s="19" t="s">
        <v>175</v>
      </c>
      <c r="B370" s="20"/>
      <c r="C370" s="20"/>
      <c r="D370" s="20"/>
      <c r="E370" s="20">
        <f t="shared" ref="E370:M370" si="139">2000/12</f>
        <v>166.66666666666666</v>
      </c>
      <c r="F370" s="20">
        <f t="shared" si="139"/>
        <v>166.66666666666666</v>
      </c>
      <c r="G370" s="20">
        <f t="shared" si="139"/>
        <v>166.66666666666666</v>
      </c>
      <c r="H370" s="20">
        <f t="shared" si="139"/>
        <v>166.66666666666666</v>
      </c>
      <c r="I370" s="20">
        <f t="shared" si="139"/>
        <v>166.66666666666666</v>
      </c>
      <c r="J370" s="20">
        <f t="shared" si="139"/>
        <v>166.66666666666666</v>
      </c>
      <c r="K370" s="20">
        <f t="shared" si="139"/>
        <v>166.66666666666666</v>
      </c>
      <c r="L370" s="20">
        <f t="shared" si="139"/>
        <v>166.66666666666666</v>
      </c>
      <c r="M370" s="20">
        <f t="shared" si="139"/>
        <v>166.66666666666666</v>
      </c>
      <c r="N370" s="20">
        <f t="shared" si="90"/>
        <v>1500</v>
      </c>
      <c r="O370" s="21">
        <f t="shared" si="138"/>
        <v>7.596382250676291E-2</v>
      </c>
    </row>
    <row r="371" spans="1:15" ht="30" x14ac:dyDescent="0.25">
      <c r="A371" s="19" t="s">
        <v>176</v>
      </c>
      <c r="B371" s="20"/>
      <c r="C371" s="20"/>
      <c r="D371" s="20"/>
      <c r="E371" s="20"/>
      <c r="F371" s="20"/>
      <c r="G371" s="20">
        <f t="shared" ref="G371:M371" si="140">5000/12</f>
        <v>416.66666666666669</v>
      </c>
      <c r="H371" s="20">
        <f t="shared" si="140"/>
        <v>416.66666666666669</v>
      </c>
      <c r="I371" s="20">
        <f t="shared" si="140"/>
        <v>416.66666666666669</v>
      </c>
      <c r="J371" s="20">
        <f t="shared" si="140"/>
        <v>416.66666666666669</v>
      </c>
      <c r="K371" s="20">
        <f t="shared" si="140"/>
        <v>416.66666666666669</v>
      </c>
      <c r="L371" s="20">
        <f t="shared" si="140"/>
        <v>416.66666666666669</v>
      </c>
      <c r="M371" s="20">
        <f t="shared" si="140"/>
        <v>416.66666666666669</v>
      </c>
      <c r="N371" s="20">
        <f t="shared" si="90"/>
        <v>2916.6666666666665</v>
      </c>
      <c r="O371" s="21">
        <f t="shared" si="138"/>
        <v>0.14770743265203898</v>
      </c>
    </row>
    <row r="372" spans="1:15" ht="45" x14ac:dyDescent="0.25">
      <c r="A372" s="19" t="s">
        <v>177</v>
      </c>
      <c r="B372" s="20"/>
      <c r="C372" s="20"/>
      <c r="D372" s="20"/>
      <c r="E372" s="20"/>
      <c r="F372" s="20"/>
      <c r="G372" s="20">
        <f t="shared" ref="G372:M372" si="141">(1300*4)/12</f>
        <v>433.33333333333331</v>
      </c>
      <c r="H372" s="20">
        <f t="shared" si="141"/>
        <v>433.33333333333331</v>
      </c>
      <c r="I372" s="20">
        <f t="shared" si="141"/>
        <v>433.33333333333331</v>
      </c>
      <c r="J372" s="20">
        <f t="shared" si="141"/>
        <v>433.33333333333331</v>
      </c>
      <c r="K372" s="20">
        <f t="shared" si="141"/>
        <v>433.33333333333331</v>
      </c>
      <c r="L372" s="20">
        <f t="shared" si="141"/>
        <v>433.33333333333331</v>
      </c>
      <c r="M372" s="20">
        <f t="shared" si="141"/>
        <v>433.33333333333331</v>
      </c>
      <c r="N372" s="20">
        <f t="shared" si="90"/>
        <v>3033.3333333333335</v>
      </c>
      <c r="O372" s="21">
        <f t="shared" si="138"/>
        <v>0.15361572995812056</v>
      </c>
    </row>
    <row r="373" spans="1:15" ht="30" x14ac:dyDescent="0.25">
      <c r="A373" s="19" t="s">
        <v>178</v>
      </c>
      <c r="B373" s="20"/>
      <c r="C373" s="20"/>
      <c r="D373" s="20"/>
      <c r="E373" s="20">
        <f t="shared" ref="E373:M373" si="142">2000/12</f>
        <v>166.66666666666666</v>
      </c>
      <c r="F373" s="20">
        <f t="shared" si="142"/>
        <v>166.66666666666666</v>
      </c>
      <c r="G373" s="20">
        <f t="shared" si="142"/>
        <v>166.66666666666666</v>
      </c>
      <c r="H373" s="20">
        <f t="shared" si="142"/>
        <v>166.66666666666666</v>
      </c>
      <c r="I373" s="20">
        <f t="shared" si="142"/>
        <v>166.66666666666666</v>
      </c>
      <c r="J373" s="20">
        <f t="shared" si="142"/>
        <v>166.66666666666666</v>
      </c>
      <c r="K373" s="20">
        <f t="shared" si="142"/>
        <v>166.66666666666666</v>
      </c>
      <c r="L373" s="20">
        <f t="shared" si="142"/>
        <v>166.66666666666666</v>
      </c>
      <c r="M373" s="20">
        <f t="shared" si="142"/>
        <v>166.66666666666666</v>
      </c>
      <c r="N373" s="20">
        <f t="shared" si="90"/>
        <v>1500</v>
      </c>
      <c r="O373" s="21">
        <f t="shared" si="138"/>
        <v>7.596382250676291E-2</v>
      </c>
    </row>
    <row r="374" spans="1:15" ht="30" x14ac:dyDescent="0.25">
      <c r="A374" s="7" t="s">
        <v>179</v>
      </c>
      <c r="B374" s="8">
        <f>SUM(B375:B383)</f>
        <v>0</v>
      </c>
      <c r="C374" s="8">
        <f t="shared" ref="C374:N374" si="143">SUM(C375:C383)</f>
        <v>0</v>
      </c>
      <c r="D374" s="8">
        <f t="shared" si="143"/>
        <v>0</v>
      </c>
      <c r="E374" s="8">
        <f t="shared" si="143"/>
        <v>0</v>
      </c>
      <c r="F374" s="8">
        <f t="shared" si="143"/>
        <v>0</v>
      </c>
      <c r="G374" s="8">
        <f t="shared" si="143"/>
        <v>0</v>
      </c>
      <c r="H374" s="8">
        <f t="shared" si="143"/>
        <v>0</v>
      </c>
      <c r="I374" s="8">
        <f t="shared" si="143"/>
        <v>0</v>
      </c>
      <c r="J374" s="8">
        <f t="shared" si="143"/>
        <v>0</v>
      </c>
      <c r="K374" s="8">
        <f t="shared" si="143"/>
        <v>0</v>
      </c>
      <c r="L374" s="8">
        <f t="shared" si="143"/>
        <v>0</v>
      </c>
      <c r="M374" s="8">
        <f t="shared" si="143"/>
        <v>0</v>
      </c>
      <c r="N374" s="8">
        <f t="shared" si="143"/>
        <v>0</v>
      </c>
      <c r="O374" s="9">
        <f>N374/$N$2*100</f>
        <v>0</v>
      </c>
    </row>
    <row r="375" spans="1:15" x14ac:dyDescent="0.25">
      <c r="A375" s="19" t="s">
        <v>180</v>
      </c>
      <c r="B375" s="20">
        <v>0</v>
      </c>
      <c r="C375" s="20">
        <v>0</v>
      </c>
      <c r="D375" s="20">
        <v>0</v>
      </c>
      <c r="E375" s="20">
        <v>0</v>
      </c>
      <c r="F375" s="20">
        <v>0</v>
      </c>
      <c r="G375" s="20">
        <v>0</v>
      </c>
      <c r="H375" s="20">
        <v>0</v>
      </c>
      <c r="I375" s="20">
        <v>0</v>
      </c>
      <c r="J375" s="20">
        <v>0</v>
      </c>
      <c r="K375" s="20">
        <v>0</v>
      </c>
      <c r="L375" s="20">
        <v>0</v>
      </c>
      <c r="M375" s="20">
        <v>0</v>
      </c>
      <c r="N375" s="20">
        <f t="shared" si="90"/>
        <v>0</v>
      </c>
      <c r="O375" s="21">
        <f t="shared" ref="O375:O383" si="144">N375/$N$2*100</f>
        <v>0</v>
      </c>
    </row>
    <row r="376" spans="1:15" x14ac:dyDescent="0.25">
      <c r="A376" s="19" t="s">
        <v>181</v>
      </c>
      <c r="B376" s="20">
        <v>0</v>
      </c>
      <c r="C376" s="20">
        <v>0</v>
      </c>
      <c r="D376" s="20">
        <v>0</v>
      </c>
      <c r="E376" s="20">
        <v>0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</v>
      </c>
      <c r="M376" s="20">
        <v>0</v>
      </c>
      <c r="N376" s="20">
        <f t="shared" si="90"/>
        <v>0</v>
      </c>
      <c r="O376" s="21">
        <f t="shared" si="144"/>
        <v>0</v>
      </c>
    </row>
    <row r="377" spans="1:15" ht="30" x14ac:dyDescent="0.25">
      <c r="A377" s="19" t="s">
        <v>182</v>
      </c>
      <c r="B377" s="20">
        <v>0</v>
      </c>
      <c r="C377" s="20">
        <v>0</v>
      </c>
      <c r="D377" s="20">
        <v>0</v>
      </c>
      <c r="E377" s="20">
        <v>0</v>
      </c>
      <c r="F377" s="20">
        <v>0</v>
      </c>
      <c r="G377" s="20">
        <v>0</v>
      </c>
      <c r="H377" s="20">
        <v>0</v>
      </c>
      <c r="I377" s="20">
        <v>0</v>
      </c>
      <c r="J377" s="20">
        <v>0</v>
      </c>
      <c r="K377" s="20">
        <v>0</v>
      </c>
      <c r="L377" s="20">
        <v>0</v>
      </c>
      <c r="M377" s="20">
        <v>0</v>
      </c>
      <c r="N377" s="20">
        <f t="shared" si="90"/>
        <v>0</v>
      </c>
      <c r="O377" s="21">
        <f t="shared" si="144"/>
        <v>0</v>
      </c>
    </row>
    <row r="378" spans="1:15" x14ac:dyDescent="0.25">
      <c r="A378" s="19" t="s">
        <v>183</v>
      </c>
      <c r="B378" s="20">
        <v>0</v>
      </c>
      <c r="C378" s="20">
        <v>0</v>
      </c>
      <c r="D378" s="20">
        <v>0</v>
      </c>
      <c r="E378" s="20">
        <v>0</v>
      </c>
      <c r="F378" s="20">
        <v>0</v>
      </c>
      <c r="G378" s="20">
        <v>0</v>
      </c>
      <c r="H378" s="20">
        <v>0</v>
      </c>
      <c r="I378" s="20">
        <v>0</v>
      </c>
      <c r="J378" s="20">
        <v>0</v>
      </c>
      <c r="K378" s="20">
        <v>0</v>
      </c>
      <c r="L378" s="20">
        <v>0</v>
      </c>
      <c r="M378" s="20">
        <v>0</v>
      </c>
      <c r="N378" s="20">
        <f t="shared" si="90"/>
        <v>0</v>
      </c>
      <c r="O378" s="21">
        <f t="shared" si="144"/>
        <v>0</v>
      </c>
    </row>
    <row r="379" spans="1:15" x14ac:dyDescent="0.25">
      <c r="A379" s="19" t="s">
        <v>184</v>
      </c>
      <c r="B379" s="20">
        <v>0</v>
      </c>
      <c r="C379" s="20">
        <v>0</v>
      </c>
      <c r="D379" s="20">
        <v>0</v>
      </c>
      <c r="E379" s="20">
        <v>0</v>
      </c>
      <c r="F379" s="20">
        <v>0</v>
      </c>
      <c r="G379" s="20">
        <v>0</v>
      </c>
      <c r="H379" s="20">
        <v>0</v>
      </c>
      <c r="I379" s="20">
        <v>0</v>
      </c>
      <c r="J379" s="20">
        <v>0</v>
      </c>
      <c r="K379" s="20">
        <v>0</v>
      </c>
      <c r="L379" s="20">
        <v>0</v>
      </c>
      <c r="M379" s="20">
        <v>0</v>
      </c>
      <c r="N379" s="20">
        <f t="shared" si="90"/>
        <v>0</v>
      </c>
      <c r="O379" s="21">
        <f t="shared" si="144"/>
        <v>0</v>
      </c>
    </row>
    <row r="380" spans="1:15" x14ac:dyDescent="0.25">
      <c r="A380" s="19" t="s">
        <v>185</v>
      </c>
      <c r="B380" s="20">
        <v>0</v>
      </c>
      <c r="C380" s="20">
        <v>0</v>
      </c>
      <c r="D380" s="20">
        <v>0</v>
      </c>
      <c r="E380" s="20">
        <v>0</v>
      </c>
      <c r="F380" s="20">
        <v>0</v>
      </c>
      <c r="G380" s="20">
        <v>0</v>
      </c>
      <c r="H380" s="20">
        <v>0</v>
      </c>
      <c r="I380" s="20">
        <v>0</v>
      </c>
      <c r="J380" s="20">
        <v>0</v>
      </c>
      <c r="K380" s="20">
        <v>0</v>
      </c>
      <c r="L380" s="20">
        <v>0</v>
      </c>
      <c r="M380" s="20">
        <v>0</v>
      </c>
      <c r="N380" s="20">
        <f t="shared" si="90"/>
        <v>0</v>
      </c>
      <c r="O380" s="21">
        <f t="shared" si="144"/>
        <v>0</v>
      </c>
    </row>
    <row r="381" spans="1:15" x14ac:dyDescent="0.25">
      <c r="A381" s="19" t="s">
        <v>186</v>
      </c>
      <c r="B381" s="20">
        <v>0</v>
      </c>
      <c r="C381" s="20">
        <v>0</v>
      </c>
      <c r="D381" s="20">
        <v>0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</v>
      </c>
      <c r="N381" s="20">
        <f t="shared" si="90"/>
        <v>0</v>
      </c>
      <c r="O381" s="21">
        <f t="shared" si="144"/>
        <v>0</v>
      </c>
    </row>
    <row r="382" spans="1:15" x14ac:dyDescent="0.25">
      <c r="A382" s="19" t="s">
        <v>187</v>
      </c>
      <c r="B382" s="20">
        <v>0</v>
      </c>
      <c r="C382" s="20">
        <v>0</v>
      </c>
      <c r="D382" s="20">
        <v>0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</v>
      </c>
      <c r="N382" s="20">
        <f t="shared" si="90"/>
        <v>0</v>
      </c>
      <c r="O382" s="21">
        <f t="shared" si="144"/>
        <v>0</v>
      </c>
    </row>
    <row r="383" spans="1:15" x14ac:dyDescent="0.25">
      <c r="A383" s="19"/>
      <c r="B383" s="20">
        <v>0</v>
      </c>
      <c r="C383" s="20">
        <v>0</v>
      </c>
      <c r="D383" s="20">
        <v>0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</v>
      </c>
      <c r="N383" s="20">
        <f t="shared" si="90"/>
        <v>0</v>
      </c>
      <c r="O383" s="21">
        <f t="shared" si="144"/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Assis</dc:creator>
  <cp:lastModifiedBy>renato Assis</cp:lastModifiedBy>
  <dcterms:created xsi:type="dcterms:W3CDTF">2026-02-13T11:52:29Z</dcterms:created>
  <dcterms:modified xsi:type="dcterms:W3CDTF">2026-02-13T11:53:15Z</dcterms:modified>
</cp:coreProperties>
</file>